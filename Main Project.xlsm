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mc:AlternateContent xmlns:mc="http://schemas.openxmlformats.org/markup-compatibility/2006">
    <mc:Choice Requires="x15">
      <x15ac:absPath xmlns:x15ac="http://schemas.microsoft.com/office/spreadsheetml/2010/11/ac" url="D:\"/>
    </mc:Choice>
  </mc:AlternateContent>
  <xr:revisionPtr revIDLastSave="0" documentId="13_ncr:1_{4F81DFEC-E328-497E-AFE4-7DD2CF85E1D5}" xr6:coauthVersionLast="45" xr6:coauthVersionMax="45" xr10:uidLastSave="{00000000-0000-0000-0000-000000000000}"/>
  <bookViews>
    <workbookView xWindow="-108" yWindow="-108" windowWidth="23256" windowHeight="12576" tabRatio="775" xr2:uid="{00000000-000D-0000-FFFF-FFFF00000000}"/>
  </bookViews>
  <sheets>
    <sheet name="Dashboard" sheetId="6" r:id="rId1"/>
    <sheet name="RPT (4)" sheetId="24" r:id="rId2"/>
    <sheet name="RPT (3)" sheetId="23" r:id="rId3"/>
    <sheet name="RPT (2)" sheetId="22" r:id="rId4"/>
    <sheet name="RPT" sheetId="21" r:id="rId5"/>
    <sheet name="Data" sheetId="5" r:id="rId6"/>
    <sheet name="East" sheetId="1" r:id="rId7"/>
    <sheet name="West" sheetId="2" r:id="rId8"/>
    <sheet name="South" sheetId="3" r:id="rId9"/>
    <sheet name="North" sheetId="4" r:id="rId10"/>
    <sheet name="Info" sheetId="20" r:id="rId11"/>
  </sheets>
  <definedNames>
    <definedName name="_xlnm._FilterDatabase" localSheetId="9" hidden="1">North!$A$1:$H$11</definedName>
    <definedName name="_xlnm._FilterDatabase" localSheetId="8" hidden="1">South!$A$1:$H$11</definedName>
    <definedName name="_xlcn.WorksheetConnection_DashboardPune2.xlsxEast1" hidden="1">East!$A$1:$H$11</definedName>
    <definedName name="_xlcn.WorksheetConnection_DashboardPune2.xlsxWest1" hidden="1">West!$A$1:$H$11</definedName>
    <definedName name="Slicer_Area">#N/A</definedName>
    <definedName name="Slicer_Date">#N/A</definedName>
    <definedName name="Slicer_Name">#N/A</definedName>
    <definedName name="Slicer_Product">#N/A</definedName>
  </definedNames>
  <calcPr calcId="191029"/>
  <pivotCaches>
    <pivotCache cacheId="3" r:id="rId12"/>
  </pivotCaches>
  <extLst>
    <ext xmlns:x14="http://schemas.microsoft.com/office/spreadsheetml/2009/9/main" uri="{BBE1A952-AA13-448e-AADC-164F8A28A991}">
      <x14:slicerCaches>
        <x14:slicerCache r:id="rId13"/>
        <x14:slicerCache r:id="rId14"/>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West" name="West" connection="WorksheetConnection_Dashboard Pune2.xlsx!West"/>
          <x15:modelTable id="East" name="East" connection="WorksheetConnection_Dashboard Pune2.xlsx!East"/>
        </x15:modelTables>
      </x15:dataModel>
    </ext>
  </extLst>
</workbook>
</file>

<file path=xl/calcChain.xml><?xml version="1.0" encoding="utf-8"?>
<calcChain xmlns="http://schemas.openxmlformats.org/spreadsheetml/2006/main">
  <c r="H109" i="5" l="1"/>
  <c r="H108" i="5"/>
  <c r="H107" i="5"/>
  <c r="H106" i="5"/>
  <c r="H105" i="5"/>
  <c r="H104" i="5"/>
  <c r="H103" i="5"/>
  <c r="H102" i="5"/>
  <c r="H101" i="5"/>
  <c r="H100" i="5"/>
  <c r="H99" i="5"/>
  <c r="H98" i="5"/>
  <c r="H97" i="5"/>
  <c r="H96" i="5"/>
  <c r="H95" i="5"/>
  <c r="H94" i="5"/>
  <c r="H93" i="5"/>
  <c r="H92" i="5"/>
  <c r="H91" i="5"/>
  <c r="H90" i="5"/>
  <c r="H89" i="5"/>
  <c r="H88" i="5"/>
  <c r="H87" i="5"/>
  <c r="H86" i="5"/>
  <c r="H85" i="5"/>
  <c r="H84" i="5"/>
  <c r="H83" i="5"/>
  <c r="H82" i="5"/>
  <c r="H81" i="5"/>
  <c r="H80" i="5"/>
  <c r="H79" i="5"/>
  <c r="H78" i="5"/>
  <c r="H77" i="5"/>
  <c r="H76" i="5"/>
  <c r="H75" i="5"/>
  <c r="H74" i="5"/>
  <c r="H73" i="5"/>
  <c r="H72" i="5"/>
  <c r="H71" i="5"/>
  <c r="H70" i="5"/>
  <c r="H69" i="5"/>
  <c r="H68" i="5"/>
  <c r="H67" i="5"/>
  <c r="H66" i="5"/>
  <c r="H65" i="5"/>
  <c r="H64" i="5"/>
  <c r="H17" i="5"/>
  <c r="H16" i="5"/>
  <c r="H15" i="5"/>
  <c r="H14" i="5"/>
  <c r="H13" i="5"/>
  <c r="H12" i="5"/>
  <c r="H11" i="5"/>
  <c r="H10" i="5"/>
  <c r="H9" i="5"/>
  <c r="H8" i="5"/>
  <c r="H7" i="5"/>
  <c r="H6" i="5"/>
  <c r="H5" i="5"/>
  <c r="H4" i="5"/>
  <c r="H3" i="5"/>
  <c r="H63" i="5" l="1"/>
  <c r="H62" i="5"/>
  <c r="H61" i="5"/>
  <c r="H60" i="5"/>
  <c r="H59" i="5"/>
  <c r="H58" i="5"/>
  <c r="H57" i="5"/>
  <c r="H56" i="5"/>
  <c r="H55" i="5"/>
  <c r="H54" i="5"/>
  <c r="H53" i="5"/>
  <c r="H52" i="5"/>
  <c r="H51" i="5"/>
  <c r="H50" i="5"/>
  <c r="H49" i="5"/>
  <c r="H48" i="5"/>
  <c r="H47" i="5"/>
  <c r="H46" i="5"/>
  <c r="H45" i="5"/>
  <c r="H44" i="5"/>
  <c r="H43" i="5"/>
  <c r="H42" i="5"/>
  <c r="H41" i="5"/>
  <c r="H40" i="5"/>
  <c r="H39" i="5"/>
  <c r="H38" i="5"/>
  <c r="H37" i="5"/>
  <c r="H36" i="5"/>
  <c r="H35" i="5"/>
  <c r="H34" i="5"/>
  <c r="H33" i="5"/>
  <c r="H32" i="5"/>
  <c r="H31" i="5"/>
  <c r="H30" i="5"/>
  <c r="H29" i="5"/>
  <c r="H28" i="5"/>
  <c r="H27" i="5"/>
  <c r="H26" i="5"/>
  <c r="H25" i="5"/>
  <c r="H24" i="5"/>
  <c r="H23" i="5"/>
  <c r="H22" i="5"/>
  <c r="H21" i="5"/>
  <c r="H20" i="5"/>
  <c r="H19" i="5"/>
  <c r="H18" i="5"/>
  <c r="H16" i="1" l="1"/>
  <c r="H15" i="1"/>
  <c r="H14" i="1"/>
  <c r="H13" i="1"/>
  <c r="H12" i="1"/>
  <c r="H16" i="2"/>
  <c r="H15" i="2"/>
  <c r="H14" i="2"/>
  <c r="H13" i="2"/>
  <c r="H12" i="2"/>
  <c r="H16" i="3"/>
  <c r="H15" i="3"/>
  <c r="H14" i="3"/>
  <c r="H13" i="3"/>
  <c r="H12" i="3"/>
  <c r="H17" i="4"/>
  <c r="H16" i="4"/>
  <c r="H15" i="4"/>
  <c r="H14" i="4"/>
  <c r="H13" i="4"/>
  <c r="H12" i="4"/>
  <c r="H2" i="1" l="1"/>
  <c r="H3" i="1"/>
  <c r="H4" i="1"/>
  <c r="H5" i="1"/>
  <c r="H6" i="1"/>
  <c r="H7" i="1"/>
  <c r="H8" i="1"/>
  <c r="H9" i="1"/>
  <c r="H10" i="1"/>
  <c r="H11" i="1"/>
  <c r="H11" i="3" l="1"/>
  <c r="H10" i="3"/>
  <c r="H9" i="3"/>
  <c r="H8" i="3"/>
  <c r="H7" i="3"/>
  <c r="H6" i="3"/>
  <c r="H5" i="3"/>
  <c r="H4" i="3"/>
  <c r="H3" i="3"/>
  <c r="H2" i="3"/>
  <c r="H11" i="4"/>
  <c r="H10" i="4"/>
  <c r="H9" i="4"/>
  <c r="H8" i="4"/>
  <c r="H7" i="4"/>
  <c r="H6" i="4"/>
  <c r="H5" i="4"/>
  <c r="H4" i="4"/>
  <c r="H3" i="4"/>
  <c r="H2" i="4"/>
  <c r="H11" i="2"/>
  <c r="H10" i="2"/>
  <c r="H9" i="2"/>
  <c r="H8" i="2"/>
  <c r="H7" i="2"/>
  <c r="H6" i="2"/>
  <c r="H5" i="2"/>
  <c r="H4" i="2"/>
  <c r="H3" i="2"/>
  <c r="H2"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Dashboard Pune2.xlsx!East" type="102" refreshedVersion="6" minRefreshableVersion="5">
    <extLst>
      <ext xmlns:x15="http://schemas.microsoft.com/office/spreadsheetml/2010/11/main" uri="{DE250136-89BD-433C-8126-D09CA5730AF9}">
        <x15:connection id="East" autoDelete="1">
          <x15:rangePr sourceName="_xlcn.WorksheetConnection_DashboardPune2.xlsxEast1"/>
        </x15:connection>
      </ext>
    </extLst>
  </connection>
  <connection id="3" xr16:uid="{00000000-0015-0000-FFFF-FFFF02000000}" name="WorksheetConnection_Dashboard Pune2.xlsx!West" type="102" refreshedVersion="6" minRefreshableVersion="5">
    <extLst>
      <ext xmlns:x15="http://schemas.microsoft.com/office/spreadsheetml/2010/11/main" uri="{DE250136-89BD-433C-8126-D09CA5730AF9}">
        <x15:connection id="West">
          <x15:rangePr sourceName="_xlcn.WorksheetConnection_DashboardPune2.xlsxWest1"/>
        </x15:connection>
      </ext>
    </extLst>
  </connection>
</connections>
</file>

<file path=xl/sharedStrings.xml><?xml version="1.0" encoding="utf-8"?>
<sst xmlns="http://schemas.openxmlformats.org/spreadsheetml/2006/main" count="613" uniqueCount="45">
  <si>
    <t>Date</t>
  </si>
  <si>
    <t>Product</t>
  </si>
  <si>
    <t>Name</t>
  </si>
  <si>
    <t>Area</t>
  </si>
  <si>
    <t>Qty</t>
  </si>
  <si>
    <t>Cost</t>
  </si>
  <si>
    <t>Total</t>
  </si>
  <si>
    <t>Sr. No.</t>
  </si>
  <si>
    <t>TV</t>
  </si>
  <si>
    <t>East</t>
  </si>
  <si>
    <t>Mobile</t>
  </si>
  <si>
    <t>Table</t>
  </si>
  <si>
    <t>Computer</t>
  </si>
  <si>
    <t>Laptop</t>
  </si>
  <si>
    <t>Hard Disc</t>
  </si>
  <si>
    <t>Ashok</t>
  </si>
  <si>
    <t>Anil</t>
  </si>
  <si>
    <t>Sunil</t>
  </si>
  <si>
    <t>Rajesh</t>
  </si>
  <si>
    <t>Mangesh</t>
  </si>
  <si>
    <t>West</t>
  </si>
  <si>
    <t>South</t>
  </si>
  <si>
    <t>North</t>
  </si>
  <si>
    <t>Total Sale</t>
  </si>
  <si>
    <t>Slicers-</t>
  </si>
  <si>
    <t>Record Macro to get data in one sheet - Record for East &amp; West only then Edit Macro and paste for South &amp; North</t>
  </si>
  <si>
    <t>Convert Data in to Table. Create Pivot Table Report - Area wise Total Sale - Create Chart - Rename Sheet As RPT</t>
  </si>
  <si>
    <t>Record Macro to Copy RPT sheet before existing sheet - Total 4 Sheets</t>
  </si>
  <si>
    <t>Edit every sheet for different reports and Charts (with Chart Type). Remove Headers / Rename all Charts.</t>
  </si>
  <si>
    <t>Apply filter to get expected results.</t>
  </si>
  <si>
    <t>Yellow in Column Lebels in Pivot Table Report</t>
  </si>
  <si>
    <t>Area,</t>
  </si>
  <si>
    <t>Product,</t>
  </si>
  <si>
    <t>Date,</t>
  </si>
  <si>
    <t>This way you can create Dashboard with New Data also (Add 5 records in each Region and Create Dashboard).</t>
  </si>
  <si>
    <t>Copy all Charts in Dashboard Sheet. Resize 6 * 14 and arrange.</t>
  </si>
  <si>
    <t>Record Macro to Insert Slicers, (Area, Product, Name and Date)  Edit and arrange.</t>
  </si>
  <si>
    <t>Connect Slicers with every chart using Report Connections.</t>
  </si>
  <si>
    <t>After completing all tasks, Delete all four RPT sheets. And Clear all from Data sheet and Dashboard sheet.</t>
  </si>
  <si>
    <t>Add some records in every Region. Run first Macro to get data in Data Sheet. Create Pivot Table report then Set Charts on Dashboard sheet. Run Third Macro Then connect slicers with every Chart.</t>
  </si>
  <si>
    <t>Row Labels</t>
  </si>
  <si>
    <t>Grand Total</t>
  </si>
  <si>
    <t>Sum of Total</t>
  </si>
  <si>
    <t>Column Labels</t>
  </si>
  <si>
    <t>Sum of Qty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</si>
</sst>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4" x14ac:knownFonts="1">
    <font>
      <sz val="11"/>
      <color theme="1"/>
      <name val="Calibri"/>
      <family val="2"/>
      <scheme val="minor"/>
    </font>
    <font>
      <sz val="11"/>
      <color rgb="FFFF0000"/>
      <name val="Calibri"/>
      <family val="2"/>
      <scheme val="minor"/>
    </font>
    <font>
      <b/>
      <sz val="12"/>
      <color rgb="FF7030A0"/>
      <name val="Calibri"/>
      <family val="2"/>
      <scheme val="minor"/>
    </font>
    <font>
      <b/>
      <sz val="12"/>
      <color rgb="FFFF0000"/>
      <name val="Calibri"/>
      <family val="2"/>
      <scheme val="minor"/>
    </font>
  </fonts>
  <fills count="3">
    <fill>
      <patternFill patternType="none"/>
    </fill>
    <fill>
      <patternFill patternType="gray125"/>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4">
    <xf numFmtId="0" fontId="0" fillId="0" borderId="0" xfId="0"/>
    <xf numFmtId="0" fontId="0" fillId="0" borderId="0" xfId="0" applyAlignment="1">
      <alignment horizontal="center"/>
    </xf>
    <xf numFmtId="0" fontId="0" fillId="0" borderId="0" xfId="0" applyFont="1"/>
    <xf numFmtId="164" fontId="0" fillId="0" borderId="0" xfId="0" applyNumberFormat="1"/>
    <xf numFmtId="0" fontId="1" fillId="0" borderId="0" xfId="0" applyFont="1" applyAlignment="1">
      <alignment horizontal="center"/>
    </xf>
    <xf numFmtId="0" fontId="1" fillId="0" borderId="0" xfId="0" applyFont="1"/>
    <xf numFmtId="0" fontId="2" fillId="0" borderId="0" xfId="0" applyFont="1"/>
    <xf numFmtId="0" fontId="0" fillId="0" borderId="1" xfId="0" applyBorder="1" applyAlignment="1">
      <alignment horizontal="left" vertical="center"/>
    </xf>
    <xf numFmtId="0" fontId="0" fillId="0" borderId="0" xfId="0" applyAlignment="1">
      <alignment horizontal="left" vertical="center"/>
    </xf>
    <xf numFmtId="0" fontId="0" fillId="2" borderId="1" xfId="0" applyFill="1" applyBorder="1" applyAlignment="1">
      <alignment horizontal="left" vertical="center"/>
    </xf>
    <xf numFmtId="0" fontId="3" fillId="0" borderId="0" xfId="0" applyFont="1"/>
    <xf numFmtId="0" fontId="0" fillId="0" borderId="0" xfId="0" pivotButton="1"/>
    <xf numFmtId="0" fontId="0" fillId="0" borderId="0" xfId="0" applyAlignment="1">
      <alignment horizontal="left"/>
    </xf>
    <xf numFmtId="0" fontId="0" fillId="0" borderId="0" xfId="0" applyNumberFormat="1"/>
  </cellXfs>
  <cellStyles count="1">
    <cellStyle name="Normal" xfId="0" builtinId="0"/>
  </cellStyles>
  <dxfs count="1">
    <dxf>
      <numFmt numFmtId="164" formatCode="[$-409]d/m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powerPivotData" Target="model/item.data"/><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3.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[Main Project.xlsm]RPT!PivotTable1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Area</a:t>
            </a:r>
            <a:r>
              <a:rPr lang="en-US" baseline="0"/>
              <a:t> wise Total sale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s>
    <c:plotArea>
      <c:layout/>
      <c:doughnutChart>
        <c:varyColors val="1"/>
        <c:ser>
          <c:idx val="0"/>
          <c:order val="0"/>
          <c:tx>
            <c:strRef>
              <c:f>RPT!$B$3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C9FF-4ED6-B053-00CE09E68E7F}"/>
              </c:ext>
            </c:extLst>
          </c:dPt>
          <c:dPt>
            <c:idx val="1"/>
            <c:bubble3D val="0"/>
            <c:spPr>
              <a:solidFill>
                <a:schemeClr val="accent2"/>
              </a:solidFill>
              <a:ln>
                <a:noFill/>
              </a:ln>
              <a:effectLst/>
            </c:spPr>
            <c:extLst>
              <c:ext xmlns:c16="http://schemas.microsoft.com/office/drawing/2014/chart" uri="{C3380CC4-5D6E-409C-BE32-E72D297353CC}">
                <c16:uniqueId val="{00000003-C9FF-4ED6-B053-00CE09E68E7F}"/>
              </c:ext>
            </c:extLst>
          </c:dPt>
          <c:dPt>
            <c:idx val="2"/>
            <c:bubble3D val="0"/>
            <c:spPr>
              <a:solidFill>
                <a:schemeClr val="accent3"/>
              </a:solidFill>
              <a:ln>
                <a:noFill/>
              </a:ln>
              <a:effectLst/>
            </c:spPr>
            <c:extLst>
              <c:ext xmlns:c16="http://schemas.microsoft.com/office/drawing/2014/chart" uri="{C3380CC4-5D6E-409C-BE32-E72D297353CC}">
                <c16:uniqueId val="{00000005-C9FF-4ED6-B053-00CE09E68E7F}"/>
              </c:ext>
            </c:extLst>
          </c:dPt>
          <c:dPt>
            <c:idx val="3"/>
            <c:bubble3D val="0"/>
            <c:spPr>
              <a:solidFill>
                <a:schemeClr val="accent4"/>
              </a:solidFill>
              <a:ln>
                <a:noFill/>
              </a:ln>
              <a:effectLst/>
            </c:spPr>
            <c:extLst>
              <c:ext xmlns:c16="http://schemas.microsoft.com/office/drawing/2014/chart" uri="{C3380CC4-5D6E-409C-BE32-E72D297353CC}">
                <c16:uniqueId val="{00000007-C9FF-4ED6-B053-00CE09E68E7F}"/>
              </c:ext>
            </c:extLst>
          </c:dPt>
          <c:cat>
            <c:strRef>
              <c:f>RPT!$A$4:$A$8</c:f>
              <c:strCache>
                <c:ptCount val="4"/>
                <c:pt idx="0">
                  <c:v>East</c:v>
                </c:pt>
                <c:pt idx="1">
                  <c:v>North</c:v>
                </c:pt>
                <c:pt idx="2">
                  <c:v>South</c:v>
                </c:pt>
                <c:pt idx="3">
                  <c:v>West</c:v>
                </c:pt>
              </c:strCache>
            </c:strRef>
          </c:cat>
          <c:val>
            <c:numRef>
              <c:f>RPT!$B$4:$B$8</c:f>
              <c:numCache>
                <c:formatCode>General</c:formatCode>
                <c:ptCount val="4"/>
                <c:pt idx="0">
                  <c:v>773681</c:v>
                </c:pt>
                <c:pt idx="1">
                  <c:v>1042698</c:v>
                </c:pt>
                <c:pt idx="2">
                  <c:v>1353908</c:v>
                </c:pt>
                <c:pt idx="3">
                  <c:v>1309556</c:v>
                </c:pt>
              </c:numCache>
            </c:numRef>
          </c:val>
          <c:extLst>
            <c:ext xmlns:c16="http://schemas.microsoft.com/office/drawing/2014/chart" uri="{C3380CC4-5D6E-409C-BE32-E72D297353CC}">
              <c16:uniqueId val="{00000008-C9FF-4ED6-B053-00CE09E68E7F}"/>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[Main Project.xlsm]RPT (2)!PivotTable1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Product wise Total sale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a:sp3d/>
        </c:spPr>
      </c:pivotFmt>
      <c:pivotFmt>
        <c:idx val="1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a:sp3d/>
        </c:spPr>
      </c:pivotFmt>
      <c:pivotFmt>
        <c:idx val="1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a:sp3d/>
        </c:spPr>
      </c:pivotFmt>
      <c:pivotFmt>
        <c:idx val="2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a:sp3d/>
        </c:spPr>
      </c:pivotFmt>
      <c:pivotFmt>
        <c:idx val="2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a:sp3d/>
        </c:spPr>
      </c:pivotFmt>
      <c:pivotFmt>
        <c:idx val="2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a:sp3d/>
        </c:spPr>
      </c:pivotFmt>
      <c:pivotFmt>
        <c:idx val="2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a:sp3d/>
        </c:spPr>
      </c:pivotFmt>
      <c:pivotFmt>
        <c:idx val="2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a:sp3d/>
        </c:spPr>
      </c:pivotFmt>
      <c:pivotFmt>
        <c:idx val="3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a:sp3d/>
        </c:spPr>
      </c:pivotFmt>
      <c:pivotFmt>
        <c:idx val="3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a:sp3d/>
        </c:spPr>
      </c:pivotFmt>
      <c:pivotFmt>
        <c:idx val="3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a:sp3d/>
        </c:spPr>
      </c:pivotFmt>
      <c:pivotFmt>
        <c:idx val="3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a:sp3d/>
        </c:spPr>
      </c:pivotFmt>
    </c:pivotFmts>
    <c:view3D>
      <c:rotX val="15"/>
      <c:rotY val="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'RPT (2)'!$B$3:$B$4</c:f>
              <c:strCache>
                <c:ptCount val="1"/>
                <c:pt idx="0">
                  <c:v>Computer</c:v>
                </c:pt>
              </c:strCache>
            </c:strRef>
          </c:tx>
          <c:dPt>
            <c:idx val="0"/>
            <c:bubble3D val="0"/>
            <c:spPr>
              <a:solidFill>
                <a:schemeClr val="accent1"/>
              </a:solidFill>
              <a:ln>
                <a:noFill/>
              </a:ln>
              <a:effectLst/>
              <a:sp3d/>
            </c:spPr>
            <c:extLst>
              <c:ext xmlns:c16="http://schemas.microsoft.com/office/drawing/2014/chart" uri="{C3380CC4-5D6E-409C-BE32-E72D297353CC}">
                <c16:uniqueId val="{00000001-EF45-4B97-9160-38C5D8DF65D3}"/>
              </c:ext>
            </c:extLst>
          </c:dPt>
          <c:cat>
            <c:strRef>
              <c:f>'RPT (2)'!$A$5</c:f>
              <c:strCache>
                <c:ptCount val="1"/>
                <c:pt idx="0">
                  <c:v>Total</c:v>
                </c:pt>
              </c:strCache>
            </c:strRef>
          </c:cat>
          <c:val>
            <c:numRef>
              <c:f>'RPT (2)'!$B$5</c:f>
              <c:numCache>
                <c:formatCode>General</c:formatCode>
                <c:ptCount val="1"/>
                <c:pt idx="0">
                  <c:v>729423</c:v>
                </c:pt>
              </c:numCache>
            </c:numRef>
          </c:val>
          <c:extLst>
            <c:ext xmlns:c16="http://schemas.microsoft.com/office/drawing/2014/chart" uri="{C3380CC4-5D6E-409C-BE32-E72D297353CC}">
              <c16:uniqueId val="{00000002-EF45-4B97-9160-38C5D8DF65D3}"/>
            </c:ext>
          </c:extLst>
        </c:ser>
        <c:ser>
          <c:idx val="1"/>
          <c:order val="1"/>
          <c:tx>
            <c:strRef>
              <c:f>'RPT (2)'!$C$3:$C$4</c:f>
              <c:strCache>
                <c:ptCount val="1"/>
                <c:pt idx="0">
                  <c:v>Hard Disc</c:v>
                </c:pt>
              </c:strCache>
            </c:strRef>
          </c:tx>
          <c:dPt>
            <c:idx val="0"/>
            <c:bubble3D val="0"/>
            <c:spPr>
              <a:solidFill>
                <a:schemeClr val="accent1"/>
              </a:solidFill>
              <a:ln>
                <a:noFill/>
              </a:ln>
              <a:effectLst/>
              <a:sp3d/>
            </c:spPr>
          </c:dPt>
          <c:cat>
            <c:strRef>
              <c:f>'RPT (2)'!$A$5</c:f>
              <c:strCache>
                <c:ptCount val="1"/>
                <c:pt idx="0">
                  <c:v>Total</c:v>
                </c:pt>
              </c:strCache>
            </c:strRef>
          </c:cat>
          <c:val>
            <c:numRef>
              <c:f>'RPT (2)'!$C$5</c:f>
              <c:numCache>
                <c:formatCode>General</c:formatCode>
                <c:ptCount val="1"/>
                <c:pt idx="0">
                  <c:v>437552</c:v>
                </c:pt>
              </c:numCache>
            </c:numRef>
          </c:val>
          <c:extLst>
            <c:ext xmlns:c16="http://schemas.microsoft.com/office/drawing/2014/chart" uri="{C3380CC4-5D6E-409C-BE32-E72D297353CC}">
              <c16:uniqueId val="{00000016-EF45-4B97-9160-38C5D8DF65D3}"/>
            </c:ext>
          </c:extLst>
        </c:ser>
        <c:ser>
          <c:idx val="2"/>
          <c:order val="2"/>
          <c:tx>
            <c:strRef>
              <c:f>'RPT (2)'!$D$3:$D$4</c:f>
              <c:strCache>
                <c:ptCount val="1"/>
                <c:pt idx="0">
                  <c:v>Laptop</c:v>
                </c:pt>
              </c:strCache>
            </c:strRef>
          </c:tx>
          <c:dPt>
            <c:idx val="0"/>
            <c:bubble3D val="0"/>
            <c:spPr>
              <a:solidFill>
                <a:schemeClr val="accent1"/>
              </a:solidFill>
              <a:ln>
                <a:noFill/>
              </a:ln>
              <a:effectLst/>
              <a:sp3d/>
            </c:spPr>
          </c:dPt>
          <c:cat>
            <c:strRef>
              <c:f>'RPT (2)'!$A$5</c:f>
              <c:strCache>
                <c:ptCount val="1"/>
                <c:pt idx="0">
                  <c:v>Total</c:v>
                </c:pt>
              </c:strCache>
            </c:strRef>
          </c:cat>
          <c:val>
            <c:numRef>
              <c:f>'RPT (2)'!$D$5</c:f>
              <c:numCache>
                <c:formatCode>General</c:formatCode>
                <c:ptCount val="1"/>
                <c:pt idx="0">
                  <c:v>485596</c:v>
                </c:pt>
              </c:numCache>
            </c:numRef>
          </c:val>
          <c:extLst>
            <c:ext xmlns:c16="http://schemas.microsoft.com/office/drawing/2014/chart" uri="{C3380CC4-5D6E-409C-BE32-E72D297353CC}">
              <c16:uniqueId val="{00000017-EF45-4B97-9160-38C5D8DF65D3}"/>
            </c:ext>
          </c:extLst>
        </c:ser>
        <c:ser>
          <c:idx val="3"/>
          <c:order val="3"/>
          <c:tx>
            <c:strRef>
              <c:f>'RPT (2)'!$E$3:$E$4</c:f>
              <c:strCache>
                <c:ptCount val="1"/>
                <c:pt idx="0">
                  <c:v>Mobile</c:v>
                </c:pt>
              </c:strCache>
            </c:strRef>
          </c:tx>
          <c:dPt>
            <c:idx val="0"/>
            <c:bubble3D val="0"/>
            <c:spPr>
              <a:solidFill>
                <a:schemeClr val="accent1"/>
              </a:solidFill>
              <a:ln>
                <a:noFill/>
              </a:ln>
              <a:effectLst/>
              <a:sp3d/>
            </c:spPr>
          </c:dPt>
          <c:cat>
            <c:strRef>
              <c:f>'RPT (2)'!$A$5</c:f>
              <c:strCache>
                <c:ptCount val="1"/>
                <c:pt idx="0">
                  <c:v>Total</c:v>
                </c:pt>
              </c:strCache>
            </c:strRef>
          </c:cat>
          <c:val>
            <c:numRef>
              <c:f>'RPT (2)'!$E$5</c:f>
              <c:numCache>
                <c:formatCode>General</c:formatCode>
                <c:ptCount val="1"/>
                <c:pt idx="0">
                  <c:v>750168</c:v>
                </c:pt>
              </c:numCache>
            </c:numRef>
          </c:val>
          <c:extLst>
            <c:ext xmlns:c16="http://schemas.microsoft.com/office/drawing/2014/chart" uri="{C3380CC4-5D6E-409C-BE32-E72D297353CC}">
              <c16:uniqueId val="{00000018-EF45-4B97-9160-38C5D8DF65D3}"/>
            </c:ext>
          </c:extLst>
        </c:ser>
        <c:ser>
          <c:idx val="4"/>
          <c:order val="4"/>
          <c:tx>
            <c:strRef>
              <c:f>'RPT (2)'!$F$3:$F$4</c:f>
              <c:strCache>
                <c:ptCount val="1"/>
                <c:pt idx="0">
                  <c:v>Table</c:v>
                </c:pt>
              </c:strCache>
            </c:strRef>
          </c:tx>
          <c:dPt>
            <c:idx val="0"/>
            <c:bubble3D val="0"/>
            <c:spPr>
              <a:solidFill>
                <a:schemeClr val="accent1"/>
              </a:solidFill>
              <a:ln>
                <a:noFill/>
              </a:ln>
              <a:effectLst/>
              <a:sp3d/>
            </c:spPr>
          </c:dPt>
          <c:cat>
            <c:strRef>
              <c:f>'RPT (2)'!$A$5</c:f>
              <c:strCache>
                <c:ptCount val="1"/>
                <c:pt idx="0">
                  <c:v>Total</c:v>
                </c:pt>
              </c:strCache>
            </c:strRef>
          </c:cat>
          <c:val>
            <c:numRef>
              <c:f>'RPT (2)'!$F$5</c:f>
              <c:numCache>
                <c:formatCode>General</c:formatCode>
                <c:ptCount val="1"/>
                <c:pt idx="0">
                  <c:v>1291616</c:v>
                </c:pt>
              </c:numCache>
            </c:numRef>
          </c:val>
          <c:extLst>
            <c:ext xmlns:c16="http://schemas.microsoft.com/office/drawing/2014/chart" uri="{C3380CC4-5D6E-409C-BE32-E72D297353CC}">
              <c16:uniqueId val="{0000001B-EF45-4B97-9160-38C5D8DF65D3}"/>
            </c:ext>
          </c:extLst>
        </c:ser>
        <c:ser>
          <c:idx val="5"/>
          <c:order val="5"/>
          <c:tx>
            <c:strRef>
              <c:f>'RPT (2)'!$G$3:$G$4</c:f>
              <c:strCache>
                <c:ptCount val="1"/>
                <c:pt idx="0">
                  <c:v>TV</c:v>
                </c:pt>
              </c:strCache>
            </c:strRef>
          </c:tx>
          <c:dPt>
            <c:idx val="0"/>
            <c:bubble3D val="0"/>
            <c:spPr>
              <a:solidFill>
                <a:schemeClr val="accent1"/>
              </a:solidFill>
              <a:ln>
                <a:noFill/>
              </a:ln>
              <a:effectLst/>
              <a:sp3d/>
            </c:spPr>
          </c:dPt>
          <c:cat>
            <c:strRef>
              <c:f>'RPT (2)'!$A$5</c:f>
              <c:strCache>
                <c:ptCount val="1"/>
                <c:pt idx="0">
                  <c:v>Total</c:v>
                </c:pt>
              </c:strCache>
            </c:strRef>
          </c:cat>
          <c:val>
            <c:numRef>
              <c:f>'RPT (2)'!$G$5</c:f>
              <c:numCache>
                <c:formatCode>General</c:formatCode>
                <c:ptCount val="1"/>
                <c:pt idx="0">
                  <c:v>785488</c:v>
                </c:pt>
              </c:numCache>
            </c:numRef>
          </c:val>
          <c:extLst>
            <c:ext xmlns:c16="http://schemas.microsoft.com/office/drawing/2014/chart" uri="{C3380CC4-5D6E-409C-BE32-E72D297353CC}">
              <c16:uniqueId val="{0000001C-EF45-4B97-9160-38C5D8DF65D3}"/>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[Main Project.xlsm]RPT (3)!PivotTable1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Area</a:t>
            </a:r>
            <a:r>
              <a:rPr lang="en-US" baseline="0"/>
              <a:t> wise Product Quantity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'RPT (3)'!$B$3:$B$4</c:f>
              <c:strCache>
                <c:ptCount val="1"/>
                <c:pt idx="0">
                  <c:v>Computer</c:v>
                </c:pt>
              </c:strCache>
            </c:strRef>
          </c:tx>
          <c:spPr>
            <a:solidFill>
              <a:schemeClr val="accent1"/>
            </a:solidFill>
            <a:ln>
              <a:noFill/>
            </a:ln>
            <a:effectLst/>
          </c:spPr>
          <c:invertIfNegative val="0"/>
          <c:cat>
            <c:strRef>
              <c:f>'RPT (3)'!$A$5:$A$9</c:f>
              <c:strCache>
                <c:ptCount val="4"/>
                <c:pt idx="0">
                  <c:v>East</c:v>
                </c:pt>
                <c:pt idx="1">
                  <c:v>North</c:v>
                </c:pt>
                <c:pt idx="2">
                  <c:v>South</c:v>
                </c:pt>
                <c:pt idx="3">
                  <c:v>West</c:v>
                </c:pt>
              </c:strCache>
            </c:strRef>
          </c:cat>
          <c:val>
            <c:numRef>
              <c:f>'RPT (3)'!$B$5:$B$9</c:f>
              <c:numCache>
                <c:formatCode>General</c:formatCode>
                <c:ptCount val="4"/>
                <c:pt idx="0">
                  <c:v>47</c:v>
                </c:pt>
                <c:pt idx="1">
                  <c:v>82</c:v>
                </c:pt>
                <c:pt idx="3">
                  <c:v>74</c:v>
                </c:pt>
              </c:numCache>
            </c:numRef>
          </c:val>
          <c:extLst>
            <c:ext xmlns:c16="http://schemas.microsoft.com/office/drawing/2014/chart" uri="{C3380CC4-5D6E-409C-BE32-E72D297353CC}">
              <c16:uniqueId val="{00000000-B25E-477A-94D9-2AF6950BE21A}"/>
            </c:ext>
          </c:extLst>
        </c:ser>
        <c:ser>
          <c:idx val="1"/>
          <c:order val="1"/>
          <c:tx>
            <c:strRef>
              <c:f>'RPT (3)'!$C$3:$C$4</c:f>
              <c:strCache>
                <c:ptCount val="1"/>
                <c:pt idx="0">
                  <c:v>Hard Disc</c:v>
                </c:pt>
              </c:strCache>
            </c:strRef>
          </c:tx>
          <c:spPr>
            <a:solidFill>
              <a:schemeClr val="accent2"/>
            </a:solidFill>
            <a:ln>
              <a:noFill/>
            </a:ln>
            <a:effectLst/>
          </c:spPr>
          <c:invertIfNegative val="0"/>
          <c:cat>
            <c:strRef>
              <c:f>'RPT (3)'!$A$5:$A$9</c:f>
              <c:strCache>
                <c:ptCount val="4"/>
                <c:pt idx="0">
                  <c:v>East</c:v>
                </c:pt>
                <c:pt idx="1">
                  <c:v>North</c:v>
                </c:pt>
                <c:pt idx="2">
                  <c:v>South</c:v>
                </c:pt>
                <c:pt idx="3">
                  <c:v>West</c:v>
                </c:pt>
              </c:strCache>
            </c:strRef>
          </c:cat>
          <c:val>
            <c:numRef>
              <c:f>'RPT (3)'!$C$5:$C$9</c:f>
              <c:numCache>
                <c:formatCode>General</c:formatCode>
                <c:ptCount val="4"/>
                <c:pt idx="0">
                  <c:v>45</c:v>
                </c:pt>
                <c:pt idx="2">
                  <c:v>96</c:v>
                </c:pt>
              </c:numCache>
            </c:numRef>
          </c:val>
          <c:extLst>
            <c:ext xmlns:c16="http://schemas.microsoft.com/office/drawing/2014/chart" uri="{C3380CC4-5D6E-409C-BE32-E72D297353CC}">
              <c16:uniqueId val="{0000000A-B25E-477A-94D9-2AF6950BE21A}"/>
            </c:ext>
          </c:extLst>
        </c:ser>
        <c:ser>
          <c:idx val="2"/>
          <c:order val="2"/>
          <c:tx>
            <c:strRef>
              <c:f>'RPT (3)'!$D$3:$D$4</c:f>
              <c:strCache>
                <c:ptCount val="1"/>
                <c:pt idx="0">
                  <c:v>Laptop</c:v>
                </c:pt>
              </c:strCache>
            </c:strRef>
          </c:tx>
          <c:spPr>
            <a:solidFill>
              <a:schemeClr val="accent3"/>
            </a:solidFill>
            <a:ln>
              <a:noFill/>
            </a:ln>
            <a:effectLst/>
          </c:spPr>
          <c:invertIfNegative val="0"/>
          <c:cat>
            <c:strRef>
              <c:f>'RPT (3)'!$A$5:$A$9</c:f>
              <c:strCache>
                <c:ptCount val="4"/>
                <c:pt idx="0">
                  <c:v>East</c:v>
                </c:pt>
                <c:pt idx="1">
                  <c:v>North</c:v>
                </c:pt>
                <c:pt idx="2">
                  <c:v>South</c:v>
                </c:pt>
                <c:pt idx="3">
                  <c:v>West</c:v>
                </c:pt>
              </c:strCache>
            </c:strRef>
          </c:cat>
          <c:val>
            <c:numRef>
              <c:f>'RPT (3)'!$D$5:$D$9</c:f>
              <c:numCache>
                <c:formatCode>General</c:formatCode>
                <c:ptCount val="4"/>
                <c:pt idx="1">
                  <c:v>80</c:v>
                </c:pt>
                <c:pt idx="3">
                  <c:v>60</c:v>
                </c:pt>
              </c:numCache>
            </c:numRef>
          </c:val>
          <c:extLst>
            <c:ext xmlns:c16="http://schemas.microsoft.com/office/drawing/2014/chart" uri="{C3380CC4-5D6E-409C-BE32-E72D297353CC}">
              <c16:uniqueId val="{0000000B-B25E-477A-94D9-2AF6950BE21A}"/>
            </c:ext>
          </c:extLst>
        </c:ser>
        <c:ser>
          <c:idx val="3"/>
          <c:order val="3"/>
          <c:tx>
            <c:strRef>
              <c:f>'RPT (3)'!$E$3:$E$4</c:f>
              <c:strCache>
                <c:ptCount val="1"/>
                <c:pt idx="0">
                  <c:v>Mobile</c:v>
                </c:pt>
              </c:strCache>
            </c:strRef>
          </c:tx>
          <c:spPr>
            <a:solidFill>
              <a:schemeClr val="accent4"/>
            </a:solidFill>
            <a:ln>
              <a:noFill/>
            </a:ln>
            <a:effectLst/>
          </c:spPr>
          <c:invertIfNegative val="0"/>
          <c:cat>
            <c:strRef>
              <c:f>'RPT (3)'!$A$5:$A$9</c:f>
              <c:strCache>
                <c:ptCount val="4"/>
                <c:pt idx="0">
                  <c:v>East</c:v>
                </c:pt>
                <c:pt idx="1">
                  <c:v>North</c:v>
                </c:pt>
                <c:pt idx="2">
                  <c:v>South</c:v>
                </c:pt>
                <c:pt idx="3">
                  <c:v>West</c:v>
                </c:pt>
              </c:strCache>
            </c:strRef>
          </c:cat>
          <c:val>
            <c:numRef>
              <c:f>'RPT (3)'!$E$5:$E$9</c:f>
              <c:numCache>
                <c:formatCode>General</c:formatCode>
                <c:ptCount val="4"/>
                <c:pt idx="0">
                  <c:v>38</c:v>
                </c:pt>
                <c:pt idx="2">
                  <c:v>84</c:v>
                </c:pt>
                <c:pt idx="3">
                  <c:v>86</c:v>
                </c:pt>
              </c:numCache>
            </c:numRef>
          </c:val>
          <c:extLst>
            <c:ext xmlns:c16="http://schemas.microsoft.com/office/drawing/2014/chart" uri="{C3380CC4-5D6E-409C-BE32-E72D297353CC}">
              <c16:uniqueId val="{0000000C-B25E-477A-94D9-2AF6950BE21A}"/>
            </c:ext>
          </c:extLst>
        </c:ser>
        <c:ser>
          <c:idx val="4"/>
          <c:order val="4"/>
          <c:tx>
            <c:strRef>
              <c:f>'RPT (3)'!$F$3:$F$4</c:f>
              <c:strCache>
                <c:ptCount val="1"/>
                <c:pt idx="0">
                  <c:v>Table</c:v>
                </c:pt>
              </c:strCache>
            </c:strRef>
          </c:tx>
          <c:spPr>
            <a:solidFill>
              <a:schemeClr val="accent5"/>
            </a:solidFill>
            <a:ln>
              <a:noFill/>
            </a:ln>
            <a:effectLst/>
          </c:spPr>
          <c:invertIfNegative val="0"/>
          <c:cat>
            <c:strRef>
              <c:f>'RPT (3)'!$A$5:$A$9</c:f>
              <c:strCache>
                <c:ptCount val="4"/>
                <c:pt idx="0">
                  <c:v>East</c:v>
                </c:pt>
                <c:pt idx="1">
                  <c:v>North</c:v>
                </c:pt>
                <c:pt idx="2">
                  <c:v>South</c:v>
                </c:pt>
                <c:pt idx="3">
                  <c:v>West</c:v>
                </c:pt>
              </c:strCache>
            </c:strRef>
          </c:cat>
          <c:val>
            <c:numRef>
              <c:f>'RPT (3)'!$F$5:$F$9</c:f>
              <c:numCache>
                <c:formatCode>General</c:formatCode>
                <c:ptCount val="4"/>
                <c:pt idx="0">
                  <c:v>44</c:v>
                </c:pt>
                <c:pt idx="1">
                  <c:v>112</c:v>
                </c:pt>
                <c:pt idx="2">
                  <c:v>92</c:v>
                </c:pt>
                <c:pt idx="3">
                  <c:v>84</c:v>
                </c:pt>
              </c:numCache>
            </c:numRef>
          </c:val>
          <c:extLst>
            <c:ext xmlns:c16="http://schemas.microsoft.com/office/drawing/2014/chart" uri="{C3380CC4-5D6E-409C-BE32-E72D297353CC}">
              <c16:uniqueId val="{0000000F-B25E-477A-94D9-2AF6950BE21A}"/>
            </c:ext>
          </c:extLst>
        </c:ser>
        <c:ser>
          <c:idx val="5"/>
          <c:order val="5"/>
          <c:tx>
            <c:strRef>
              <c:f>'RPT (3)'!$G$3:$G$4</c:f>
              <c:strCache>
                <c:ptCount val="1"/>
                <c:pt idx="0">
                  <c:v>TV</c:v>
                </c:pt>
              </c:strCache>
            </c:strRef>
          </c:tx>
          <c:spPr>
            <a:solidFill>
              <a:schemeClr val="accent6"/>
            </a:solidFill>
            <a:ln>
              <a:noFill/>
            </a:ln>
            <a:effectLst/>
          </c:spPr>
          <c:invertIfNegative val="0"/>
          <c:cat>
            <c:strRef>
              <c:f>'RPT (3)'!$A$5:$A$9</c:f>
              <c:strCache>
                <c:ptCount val="4"/>
                <c:pt idx="0">
                  <c:v>East</c:v>
                </c:pt>
                <c:pt idx="1">
                  <c:v>North</c:v>
                </c:pt>
                <c:pt idx="2">
                  <c:v>South</c:v>
                </c:pt>
                <c:pt idx="3">
                  <c:v>West</c:v>
                </c:pt>
              </c:strCache>
            </c:strRef>
          </c:cat>
          <c:val>
            <c:numRef>
              <c:f>'RPT (3)'!$G$5:$G$9</c:f>
              <c:numCache>
                <c:formatCode>General</c:formatCode>
                <c:ptCount val="4"/>
                <c:pt idx="0">
                  <c:v>48</c:v>
                </c:pt>
                <c:pt idx="2">
                  <c:v>100</c:v>
                </c:pt>
                <c:pt idx="3">
                  <c:v>76</c:v>
                </c:pt>
              </c:numCache>
            </c:numRef>
          </c:val>
          <c:extLst>
            <c:ext xmlns:c16="http://schemas.microsoft.com/office/drawing/2014/chart" uri="{C3380CC4-5D6E-409C-BE32-E72D297353CC}">
              <c16:uniqueId val="{00000010-B25E-477A-94D9-2AF6950BE21A}"/>
            </c:ext>
          </c:extLst>
        </c:ser>
        <c:dLbls>
          <c:showLegendKey val="0"/>
          <c:showVal val="0"/>
          <c:showCatName val="0"/>
          <c:showSerName val="0"/>
          <c:showPercent val="0"/>
          <c:showBubbleSize val="0"/>
        </c:dLbls>
        <c:gapWidth val="100"/>
        <c:axId val="1639238335"/>
        <c:axId val="1792242495"/>
      </c:barChart>
      <c:valAx>
        <c:axId val="179224249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9238335"/>
        <c:crosses val="autoZero"/>
        <c:crossBetween val="between"/>
      </c:valAx>
      <c:catAx>
        <c:axId val="1639238335"/>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2242495"/>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[Main Project.xlsm]RPT (4)!PivotTable1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Date wise Product Total sale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'RPT (4)'!$B$3:$B$4</c:f>
              <c:strCache>
                <c:ptCount val="1"/>
                <c:pt idx="0">
                  <c:v>1-Jan-2010</c:v>
                </c:pt>
              </c:strCache>
            </c:strRef>
          </c:tx>
          <c:spPr>
            <a:solidFill>
              <a:schemeClr val="accent1"/>
            </a:solidFill>
            <a:ln>
              <a:noFill/>
            </a:ln>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(4)'!$B$5:$B$11</c:f>
              <c:numCache>
                <c:formatCode>General</c:formatCode>
                <c:ptCount val="6"/>
                <c:pt idx="2">
                  <c:v>32700</c:v>
                </c:pt>
                <c:pt idx="3">
                  <c:v>35120</c:v>
                </c:pt>
                <c:pt idx="4">
                  <c:v>81140</c:v>
                </c:pt>
                <c:pt idx="5">
                  <c:v>91392</c:v>
                </c:pt>
              </c:numCache>
            </c:numRef>
          </c:val>
          <c:extLst>
            <c:ext xmlns:c16="http://schemas.microsoft.com/office/drawing/2014/chart" uri="{C3380CC4-5D6E-409C-BE32-E72D297353CC}">
              <c16:uniqueId val="{00000000-B41D-4F6A-B59E-8A156339FC49}"/>
            </c:ext>
          </c:extLst>
        </c:ser>
        <c:ser>
          <c:idx val="1"/>
          <c:order val="1"/>
          <c:tx>
            <c:strRef>
              <c:f>'RPT (4)'!$C$3:$C$4</c:f>
              <c:strCache>
                <c:ptCount val="1"/>
                <c:pt idx="0">
                  <c:v>2-Jan-2010</c:v>
                </c:pt>
              </c:strCache>
            </c:strRef>
          </c:tx>
          <c:spPr>
            <a:solidFill>
              <a:schemeClr val="accent2"/>
            </a:solidFill>
            <a:ln>
              <a:noFill/>
            </a:ln>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(4)'!$C$5:$C$11</c:f>
              <c:numCache>
                <c:formatCode>General</c:formatCode>
                <c:ptCount val="6"/>
                <c:pt idx="0">
                  <c:v>144330</c:v>
                </c:pt>
                <c:pt idx="1">
                  <c:v>137124</c:v>
                </c:pt>
                <c:pt idx="3">
                  <c:v>70772</c:v>
                </c:pt>
                <c:pt idx="5">
                  <c:v>63536</c:v>
                </c:pt>
              </c:numCache>
            </c:numRef>
          </c:val>
          <c:extLst>
            <c:ext xmlns:c16="http://schemas.microsoft.com/office/drawing/2014/chart" uri="{C3380CC4-5D6E-409C-BE32-E72D297353CC}">
              <c16:uniqueId val="{00000013-B41D-4F6A-B59E-8A156339FC49}"/>
            </c:ext>
          </c:extLst>
        </c:ser>
        <c:ser>
          <c:idx val="2"/>
          <c:order val="2"/>
          <c:tx>
            <c:strRef>
              <c:f>'RPT (4)'!$D$3:$D$4</c:f>
              <c:strCache>
                <c:ptCount val="1"/>
                <c:pt idx="0">
                  <c:v>3-Jan-2010</c:v>
                </c:pt>
              </c:strCache>
            </c:strRef>
          </c:tx>
          <c:spPr>
            <a:solidFill>
              <a:schemeClr val="accent3"/>
            </a:solidFill>
            <a:ln>
              <a:noFill/>
            </a:ln>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(4)'!$D$5:$D$11</c:f>
              <c:numCache>
                <c:formatCode>General</c:formatCode>
                <c:ptCount val="6"/>
                <c:pt idx="0">
                  <c:v>53449</c:v>
                </c:pt>
                <c:pt idx="2">
                  <c:v>48640</c:v>
                </c:pt>
                <c:pt idx="3">
                  <c:v>127584</c:v>
                </c:pt>
                <c:pt idx="4">
                  <c:v>104400</c:v>
                </c:pt>
              </c:numCache>
            </c:numRef>
          </c:val>
          <c:extLst>
            <c:ext xmlns:c16="http://schemas.microsoft.com/office/drawing/2014/chart" uri="{C3380CC4-5D6E-409C-BE32-E72D297353CC}">
              <c16:uniqueId val="{00000014-B41D-4F6A-B59E-8A156339FC49}"/>
            </c:ext>
          </c:extLst>
        </c:ser>
        <c:ser>
          <c:idx val="3"/>
          <c:order val="3"/>
          <c:tx>
            <c:strRef>
              <c:f>'RPT (4)'!$E$3:$E$4</c:f>
              <c:strCache>
                <c:ptCount val="1"/>
                <c:pt idx="0">
                  <c:v>4-Jan-2010</c:v>
                </c:pt>
              </c:strCache>
            </c:strRef>
          </c:tx>
          <c:spPr>
            <a:solidFill>
              <a:schemeClr val="accent4"/>
            </a:solidFill>
            <a:ln>
              <a:noFill/>
            </a:ln>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(4)'!$E$5:$E$11</c:f>
              <c:numCache>
                <c:formatCode>General</c:formatCode>
                <c:ptCount val="6"/>
                <c:pt idx="0">
                  <c:v>58136</c:v>
                </c:pt>
                <c:pt idx="2">
                  <c:v>28572</c:v>
                </c:pt>
                <c:pt idx="4">
                  <c:v>32880</c:v>
                </c:pt>
                <c:pt idx="5">
                  <c:v>46920</c:v>
                </c:pt>
              </c:numCache>
            </c:numRef>
          </c:val>
          <c:extLst>
            <c:ext xmlns:c16="http://schemas.microsoft.com/office/drawing/2014/chart" uri="{C3380CC4-5D6E-409C-BE32-E72D297353CC}">
              <c16:uniqueId val="{00000015-B41D-4F6A-B59E-8A156339FC49}"/>
            </c:ext>
          </c:extLst>
        </c:ser>
        <c:ser>
          <c:idx val="4"/>
          <c:order val="4"/>
          <c:tx>
            <c:strRef>
              <c:f>'RPT (4)'!$F$3:$F$4</c:f>
              <c:strCache>
                <c:ptCount val="1"/>
                <c:pt idx="0">
                  <c:v>5-Jan-2010</c:v>
                </c:pt>
              </c:strCache>
            </c:strRef>
          </c:tx>
          <c:spPr>
            <a:solidFill>
              <a:schemeClr val="accent5"/>
            </a:solidFill>
            <a:ln>
              <a:noFill/>
            </a:ln>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(4)'!$F$5:$F$11</c:f>
              <c:numCache>
                <c:formatCode>General</c:formatCode>
                <c:ptCount val="6"/>
                <c:pt idx="1">
                  <c:v>66164</c:v>
                </c:pt>
                <c:pt idx="2">
                  <c:v>91380</c:v>
                </c:pt>
                <c:pt idx="4">
                  <c:v>140120</c:v>
                </c:pt>
                <c:pt idx="5">
                  <c:v>79248</c:v>
                </c:pt>
              </c:numCache>
            </c:numRef>
          </c:val>
          <c:extLst>
            <c:ext xmlns:c16="http://schemas.microsoft.com/office/drawing/2014/chart" uri="{C3380CC4-5D6E-409C-BE32-E72D297353CC}">
              <c16:uniqueId val="{00000016-B41D-4F6A-B59E-8A156339FC49}"/>
            </c:ext>
          </c:extLst>
        </c:ser>
        <c:ser>
          <c:idx val="5"/>
          <c:order val="5"/>
          <c:tx>
            <c:strRef>
              <c:f>'RPT (4)'!$G$3:$G$4</c:f>
              <c:strCache>
                <c:ptCount val="1"/>
                <c:pt idx="0">
                  <c:v>6-Jan-2010</c:v>
                </c:pt>
              </c:strCache>
            </c:strRef>
          </c:tx>
          <c:spPr>
            <a:solidFill>
              <a:schemeClr val="accent6"/>
            </a:solidFill>
            <a:ln>
              <a:noFill/>
            </a:ln>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(4)'!$G$5:$G$11</c:f>
              <c:numCache>
                <c:formatCode>General</c:formatCode>
                <c:ptCount val="6"/>
                <c:pt idx="2">
                  <c:v>63520</c:v>
                </c:pt>
                <c:pt idx="3">
                  <c:v>102080</c:v>
                </c:pt>
                <c:pt idx="4">
                  <c:v>294336</c:v>
                </c:pt>
                <c:pt idx="5">
                  <c:v>166408</c:v>
                </c:pt>
              </c:numCache>
            </c:numRef>
          </c:val>
          <c:extLst>
            <c:ext xmlns:c16="http://schemas.microsoft.com/office/drawing/2014/chart" uri="{C3380CC4-5D6E-409C-BE32-E72D297353CC}">
              <c16:uniqueId val="{00000017-B41D-4F6A-B59E-8A156339FC49}"/>
            </c:ext>
          </c:extLst>
        </c:ser>
        <c:ser>
          <c:idx val="6"/>
          <c:order val="6"/>
          <c:tx>
            <c:strRef>
              <c:f>'RPT (4)'!$H$3:$H$4</c:f>
              <c:strCache>
                <c:ptCount val="1"/>
                <c:pt idx="0">
                  <c:v>7-Jan-2010</c:v>
                </c:pt>
              </c:strCache>
            </c:strRef>
          </c:tx>
          <c:spPr>
            <a:solidFill>
              <a:schemeClr val="accent1">
                <a:lumMod val="60000"/>
              </a:schemeClr>
            </a:solidFill>
            <a:ln>
              <a:noFill/>
            </a:ln>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(4)'!$H$5:$H$11</c:f>
              <c:numCache>
                <c:formatCode>General</c:formatCode>
                <c:ptCount val="6"/>
                <c:pt idx="0">
                  <c:v>201216</c:v>
                </c:pt>
                <c:pt idx="1">
                  <c:v>151860</c:v>
                </c:pt>
                <c:pt idx="3">
                  <c:v>169380</c:v>
                </c:pt>
                <c:pt idx="5">
                  <c:v>147520</c:v>
                </c:pt>
              </c:numCache>
            </c:numRef>
          </c:val>
          <c:extLst>
            <c:ext xmlns:c16="http://schemas.microsoft.com/office/drawing/2014/chart" uri="{C3380CC4-5D6E-409C-BE32-E72D297353CC}">
              <c16:uniqueId val="{00000018-B41D-4F6A-B59E-8A156339FC49}"/>
            </c:ext>
          </c:extLst>
        </c:ser>
        <c:ser>
          <c:idx val="7"/>
          <c:order val="7"/>
          <c:tx>
            <c:strRef>
              <c:f>'RPT (4)'!$I$3:$I$4</c:f>
              <c:strCache>
                <c:ptCount val="1"/>
                <c:pt idx="0">
                  <c:v>8-Jan-2010</c:v>
                </c:pt>
              </c:strCache>
            </c:strRef>
          </c:tx>
          <c:spPr>
            <a:solidFill>
              <a:schemeClr val="accent2">
                <a:lumMod val="60000"/>
              </a:schemeClr>
            </a:solidFill>
            <a:ln>
              <a:noFill/>
            </a:ln>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(4)'!$I$5:$I$11</c:f>
              <c:numCache>
                <c:formatCode>General</c:formatCode>
                <c:ptCount val="6"/>
                <c:pt idx="0">
                  <c:v>79956</c:v>
                </c:pt>
                <c:pt idx="2">
                  <c:v>38344</c:v>
                </c:pt>
                <c:pt idx="3">
                  <c:v>245232</c:v>
                </c:pt>
                <c:pt idx="4">
                  <c:v>226992</c:v>
                </c:pt>
              </c:numCache>
            </c:numRef>
          </c:val>
          <c:extLst>
            <c:ext xmlns:c16="http://schemas.microsoft.com/office/drawing/2014/chart" uri="{C3380CC4-5D6E-409C-BE32-E72D297353CC}">
              <c16:uniqueId val="{00000019-B41D-4F6A-B59E-8A156339FC49}"/>
            </c:ext>
          </c:extLst>
        </c:ser>
        <c:ser>
          <c:idx val="8"/>
          <c:order val="8"/>
          <c:tx>
            <c:strRef>
              <c:f>'RPT (4)'!$J$3:$J$4</c:f>
              <c:strCache>
                <c:ptCount val="1"/>
                <c:pt idx="0">
                  <c:v>9-Jan-2010</c:v>
                </c:pt>
              </c:strCache>
            </c:strRef>
          </c:tx>
          <c:spPr>
            <a:solidFill>
              <a:schemeClr val="accent3">
                <a:lumMod val="60000"/>
              </a:schemeClr>
            </a:solidFill>
            <a:ln>
              <a:noFill/>
            </a:ln>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(4)'!$J$5:$J$11</c:f>
              <c:numCache>
                <c:formatCode>General</c:formatCode>
                <c:ptCount val="6"/>
                <c:pt idx="0">
                  <c:v>192336</c:v>
                </c:pt>
                <c:pt idx="2">
                  <c:v>44080</c:v>
                </c:pt>
                <c:pt idx="4">
                  <c:v>110572</c:v>
                </c:pt>
                <c:pt idx="5">
                  <c:v>123464</c:v>
                </c:pt>
              </c:numCache>
            </c:numRef>
          </c:val>
          <c:extLst>
            <c:ext xmlns:c16="http://schemas.microsoft.com/office/drawing/2014/chart" uri="{C3380CC4-5D6E-409C-BE32-E72D297353CC}">
              <c16:uniqueId val="{0000001A-B41D-4F6A-B59E-8A156339FC49}"/>
            </c:ext>
          </c:extLst>
        </c:ser>
        <c:ser>
          <c:idx val="9"/>
          <c:order val="9"/>
          <c:tx>
            <c:strRef>
              <c:f>'RPT (4)'!$K$3:$K$4</c:f>
              <c:strCache>
                <c:ptCount val="1"/>
                <c:pt idx="0">
                  <c:v>10-Jan-2010</c:v>
                </c:pt>
              </c:strCache>
            </c:strRef>
          </c:tx>
          <c:spPr>
            <a:solidFill>
              <a:schemeClr val="accent4">
                <a:lumMod val="60000"/>
              </a:schemeClr>
            </a:solidFill>
            <a:ln>
              <a:noFill/>
            </a:ln>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(4)'!$K$5:$K$11</c:f>
              <c:numCache>
                <c:formatCode>General</c:formatCode>
                <c:ptCount val="6"/>
                <c:pt idx="1">
                  <c:v>82404</c:v>
                </c:pt>
                <c:pt idx="2">
                  <c:v>138360</c:v>
                </c:pt>
                <c:pt idx="4">
                  <c:v>301176</c:v>
                </c:pt>
                <c:pt idx="5">
                  <c:v>67000</c:v>
                </c:pt>
              </c:numCache>
            </c:numRef>
          </c:val>
          <c:extLst>
            <c:ext xmlns:c16="http://schemas.microsoft.com/office/drawing/2014/chart" uri="{C3380CC4-5D6E-409C-BE32-E72D297353CC}">
              <c16:uniqueId val="{0000001B-B41D-4F6A-B59E-8A156339FC49}"/>
            </c:ext>
          </c:extLst>
        </c:ser>
        <c:dLbls>
          <c:showLegendKey val="0"/>
          <c:showVal val="0"/>
          <c:showCatName val="0"/>
          <c:showSerName val="0"/>
          <c:showPercent val="0"/>
          <c:showBubbleSize val="0"/>
        </c:dLbls>
        <c:gapWidth val="100"/>
        <c:axId val="1639225135"/>
        <c:axId val="1792228767"/>
      </c:barChart>
      <c:catAx>
        <c:axId val="163922513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2228767"/>
        <c:crosses val="autoZero"/>
        <c:auto val="1"/>
        <c:lblAlgn val="ctr"/>
        <c:lblOffset val="100"/>
        <c:noMultiLvlLbl val="0"/>
      </c:catAx>
      <c:valAx>
        <c:axId val="17922287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92251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[Main Project.xlsm]RPT (4)!PivotTable1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Date wise Product Total sale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'RPT (4)'!$B$3:$B$4</c:f>
              <c:strCache>
                <c:ptCount val="1"/>
                <c:pt idx="0">
                  <c:v>1-Jan-2010</c:v>
                </c:pt>
              </c:strCache>
            </c:strRef>
          </c:tx>
          <c:spPr>
            <a:solidFill>
              <a:schemeClr val="accent1"/>
            </a:solidFill>
            <a:ln>
              <a:noFill/>
            </a:ln>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(4)'!$B$5:$B$11</c:f>
              <c:numCache>
                <c:formatCode>General</c:formatCode>
                <c:ptCount val="6"/>
                <c:pt idx="2">
                  <c:v>32700</c:v>
                </c:pt>
                <c:pt idx="3">
                  <c:v>35120</c:v>
                </c:pt>
                <c:pt idx="4">
                  <c:v>81140</c:v>
                </c:pt>
                <c:pt idx="5">
                  <c:v>91392</c:v>
                </c:pt>
              </c:numCache>
            </c:numRef>
          </c:val>
          <c:extLst>
            <c:ext xmlns:c16="http://schemas.microsoft.com/office/drawing/2014/chart" uri="{C3380CC4-5D6E-409C-BE32-E72D297353CC}">
              <c16:uniqueId val="{00000008-4FB2-46AE-A3D5-8AB39223F75F}"/>
            </c:ext>
          </c:extLst>
        </c:ser>
        <c:ser>
          <c:idx val="1"/>
          <c:order val="1"/>
          <c:tx>
            <c:strRef>
              <c:f>'RPT (4)'!$C$3:$C$4</c:f>
              <c:strCache>
                <c:ptCount val="1"/>
                <c:pt idx="0">
                  <c:v>2-Jan-2010</c:v>
                </c:pt>
              </c:strCache>
            </c:strRef>
          </c:tx>
          <c:spPr>
            <a:solidFill>
              <a:schemeClr val="accent2"/>
            </a:solidFill>
            <a:ln>
              <a:noFill/>
            </a:ln>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(4)'!$C$5:$C$11</c:f>
              <c:numCache>
                <c:formatCode>General</c:formatCode>
                <c:ptCount val="6"/>
                <c:pt idx="0">
                  <c:v>144330</c:v>
                </c:pt>
                <c:pt idx="1">
                  <c:v>137124</c:v>
                </c:pt>
                <c:pt idx="3">
                  <c:v>70772</c:v>
                </c:pt>
                <c:pt idx="5">
                  <c:v>63536</c:v>
                </c:pt>
              </c:numCache>
            </c:numRef>
          </c:val>
          <c:extLst>
            <c:ext xmlns:c16="http://schemas.microsoft.com/office/drawing/2014/chart" uri="{C3380CC4-5D6E-409C-BE32-E72D297353CC}">
              <c16:uniqueId val="{0000001B-4FB2-46AE-A3D5-8AB39223F75F}"/>
            </c:ext>
          </c:extLst>
        </c:ser>
        <c:ser>
          <c:idx val="2"/>
          <c:order val="2"/>
          <c:tx>
            <c:strRef>
              <c:f>'RPT (4)'!$D$3:$D$4</c:f>
              <c:strCache>
                <c:ptCount val="1"/>
                <c:pt idx="0">
                  <c:v>3-Jan-2010</c:v>
                </c:pt>
              </c:strCache>
            </c:strRef>
          </c:tx>
          <c:spPr>
            <a:solidFill>
              <a:schemeClr val="accent3"/>
            </a:solidFill>
            <a:ln>
              <a:noFill/>
            </a:ln>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(4)'!$D$5:$D$11</c:f>
              <c:numCache>
                <c:formatCode>General</c:formatCode>
                <c:ptCount val="6"/>
                <c:pt idx="0">
                  <c:v>53449</c:v>
                </c:pt>
                <c:pt idx="2">
                  <c:v>48640</c:v>
                </c:pt>
                <c:pt idx="3">
                  <c:v>127584</c:v>
                </c:pt>
                <c:pt idx="4">
                  <c:v>104400</c:v>
                </c:pt>
              </c:numCache>
            </c:numRef>
          </c:val>
          <c:extLst>
            <c:ext xmlns:c16="http://schemas.microsoft.com/office/drawing/2014/chart" uri="{C3380CC4-5D6E-409C-BE32-E72D297353CC}">
              <c16:uniqueId val="{0000001C-4FB2-46AE-A3D5-8AB39223F75F}"/>
            </c:ext>
          </c:extLst>
        </c:ser>
        <c:ser>
          <c:idx val="3"/>
          <c:order val="3"/>
          <c:tx>
            <c:strRef>
              <c:f>'RPT (4)'!$E$3:$E$4</c:f>
              <c:strCache>
                <c:ptCount val="1"/>
                <c:pt idx="0">
                  <c:v>4-Jan-2010</c:v>
                </c:pt>
              </c:strCache>
            </c:strRef>
          </c:tx>
          <c:spPr>
            <a:solidFill>
              <a:schemeClr val="accent4"/>
            </a:solidFill>
            <a:ln>
              <a:noFill/>
            </a:ln>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(4)'!$E$5:$E$11</c:f>
              <c:numCache>
                <c:formatCode>General</c:formatCode>
                <c:ptCount val="6"/>
                <c:pt idx="0">
                  <c:v>58136</c:v>
                </c:pt>
                <c:pt idx="2">
                  <c:v>28572</c:v>
                </c:pt>
                <c:pt idx="4">
                  <c:v>32880</c:v>
                </c:pt>
                <c:pt idx="5">
                  <c:v>46920</c:v>
                </c:pt>
              </c:numCache>
            </c:numRef>
          </c:val>
          <c:extLst>
            <c:ext xmlns:c16="http://schemas.microsoft.com/office/drawing/2014/chart" uri="{C3380CC4-5D6E-409C-BE32-E72D297353CC}">
              <c16:uniqueId val="{0000001D-4FB2-46AE-A3D5-8AB39223F75F}"/>
            </c:ext>
          </c:extLst>
        </c:ser>
        <c:ser>
          <c:idx val="4"/>
          <c:order val="4"/>
          <c:tx>
            <c:strRef>
              <c:f>'RPT (4)'!$F$3:$F$4</c:f>
              <c:strCache>
                <c:ptCount val="1"/>
                <c:pt idx="0">
                  <c:v>5-Jan-2010</c:v>
                </c:pt>
              </c:strCache>
            </c:strRef>
          </c:tx>
          <c:spPr>
            <a:solidFill>
              <a:schemeClr val="accent5"/>
            </a:solidFill>
            <a:ln>
              <a:noFill/>
            </a:ln>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(4)'!$F$5:$F$11</c:f>
              <c:numCache>
                <c:formatCode>General</c:formatCode>
                <c:ptCount val="6"/>
                <c:pt idx="1">
                  <c:v>66164</c:v>
                </c:pt>
                <c:pt idx="2">
                  <c:v>91380</c:v>
                </c:pt>
                <c:pt idx="4">
                  <c:v>140120</c:v>
                </c:pt>
                <c:pt idx="5">
                  <c:v>79248</c:v>
                </c:pt>
              </c:numCache>
            </c:numRef>
          </c:val>
          <c:extLst>
            <c:ext xmlns:c16="http://schemas.microsoft.com/office/drawing/2014/chart" uri="{C3380CC4-5D6E-409C-BE32-E72D297353CC}">
              <c16:uniqueId val="{0000001E-4FB2-46AE-A3D5-8AB39223F75F}"/>
            </c:ext>
          </c:extLst>
        </c:ser>
        <c:ser>
          <c:idx val="5"/>
          <c:order val="5"/>
          <c:tx>
            <c:strRef>
              <c:f>'RPT (4)'!$G$3:$G$4</c:f>
              <c:strCache>
                <c:ptCount val="1"/>
                <c:pt idx="0">
                  <c:v>6-Jan-2010</c:v>
                </c:pt>
              </c:strCache>
            </c:strRef>
          </c:tx>
          <c:spPr>
            <a:solidFill>
              <a:schemeClr val="accent6"/>
            </a:solidFill>
            <a:ln>
              <a:noFill/>
            </a:ln>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(4)'!$G$5:$G$11</c:f>
              <c:numCache>
                <c:formatCode>General</c:formatCode>
                <c:ptCount val="6"/>
                <c:pt idx="2">
                  <c:v>63520</c:v>
                </c:pt>
                <c:pt idx="3">
                  <c:v>102080</c:v>
                </c:pt>
                <c:pt idx="4">
                  <c:v>294336</c:v>
                </c:pt>
                <c:pt idx="5">
                  <c:v>166408</c:v>
                </c:pt>
              </c:numCache>
            </c:numRef>
          </c:val>
          <c:extLst>
            <c:ext xmlns:c16="http://schemas.microsoft.com/office/drawing/2014/chart" uri="{C3380CC4-5D6E-409C-BE32-E72D297353CC}">
              <c16:uniqueId val="{0000001F-4FB2-46AE-A3D5-8AB39223F75F}"/>
            </c:ext>
          </c:extLst>
        </c:ser>
        <c:ser>
          <c:idx val="6"/>
          <c:order val="6"/>
          <c:tx>
            <c:strRef>
              <c:f>'RPT (4)'!$H$3:$H$4</c:f>
              <c:strCache>
                <c:ptCount val="1"/>
                <c:pt idx="0">
                  <c:v>7-Jan-2010</c:v>
                </c:pt>
              </c:strCache>
            </c:strRef>
          </c:tx>
          <c:spPr>
            <a:solidFill>
              <a:schemeClr val="accent1">
                <a:lumMod val="60000"/>
              </a:schemeClr>
            </a:solidFill>
            <a:ln>
              <a:noFill/>
            </a:ln>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(4)'!$H$5:$H$11</c:f>
              <c:numCache>
                <c:formatCode>General</c:formatCode>
                <c:ptCount val="6"/>
                <c:pt idx="0">
                  <c:v>201216</c:v>
                </c:pt>
                <c:pt idx="1">
                  <c:v>151860</c:v>
                </c:pt>
                <c:pt idx="3">
                  <c:v>169380</c:v>
                </c:pt>
                <c:pt idx="5">
                  <c:v>147520</c:v>
                </c:pt>
              </c:numCache>
            </c:numRef>
          </c:val>
          <c:extLst>
            <c:ext xmlns:c16="http://schemas.microsoft.com/office/drawing/2014/chart" uri="{C3380CC4-5D6E-409C-BE32-E72D297353CC}">
              <c16:uniqueId val="{00000020-4FB2-46AE-A3D5-8AB39223F75F}"/>
            </c:ext>
          </c:extLst>
        </c:ser>
        <c:ser>
          <c:idx val="7"/>
          <c:order val="7"/>
          <c:tx>
            <c:strRef>
              <c:f>'RPT (4)'!$I$3:$I$4</c:f>
              <c:strCache>
                <c:ptCount val="1"/>
                <c:pt idx="0">
                  <c:v>8-Jan-2010</c:v>
                </c:pt>
              </c:strCache>
            </c:strRef>
          </c:tx>
          <c:spPr>
            <a:solidFill>
              <a:schemeClr val="accent2">
                <a:lumMod val="60000"/>
              </a:schemeClr>
            </a:solidFill>
            <a:ln>
              <a:noFill/>
            </a:ln>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(4)'!$I$5:$I$11</c:f>
              <c:numCache>
                <c:formatCode>General</c:formatCode>
                <c:ptCount val="6"/>
                <c:pt idx="0">
                  <c:v>79956</c:v>
                </c:pt>
                <c:pt idx="2">
                  <c:v>38344</c:v>
                </c:pt>
                <c:pt idx="3">
                  <c:v>245232</c:v>
                </c:pt>
                <c:pt idx="4">
                  <c:v>226992</c:v>
                </c:pt>
              </c:numCache>
            </c:numRef>
          </c:val>
          <c:extLst>
            <c:ext xmlns:c16="http://schemas.microsoft.com/office/drawing/2014/chart" uri="{C3380CC4-5D6E-409C-BE32-E72D297353CC}">
              <c16:uniqueId val="{00000021-4FB2-46AE-A3D5-8AB39223F75F}"/>
            </c:ext>
          </c:extLst>
        </c:ser>
        <c:ser>
          <c:idx val="8"/>
          <c:order val="8"/>
          <c:tx>
            <c:strRef>
              <c:f>'RPT (4)'!$J$3:$J$4</c:f>
              <c:strCache>
                <c:ptCount val="1"/>
                <c:pt idx="0">
                  <c:v>9-Jan-2010</c:v>
                </c:pt>
              </c:strCache>
            </c:strRef>
          </c:tx>
          <c:spPr>
            <a:solidFill>
              <a:schemeClr val="accent3">
                <a:lumMod val="60000"/>
              </a:schemeClr>
            </a:solidFill>
            <a:ln>
              <a:noFill/>
            </a:ln>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(4)'!$J$5:$J$11</c:f>
              <c:numCache>
                <c:formatCode>General</c:formatCode>
                <c:ptCount val="6"/>
                <c:pt idx="0">
                  <c:v>192336</c:v>
                </c:pt>
                <c:pt idx="2">
                  <c:v>44080</c:v>
                </c:pt>
                <c:pt idx="4">
                  <c:v>110572</c:v>
                </c:pt>
                <c:pt idx="5">
                  <c:v>123464</c:v>
                </c:pt>
              </c:numCache>
            </c:numRef>
          </c:val>
          <c:extLst>
            <c:ext xmlns:c16="http://schemas.microsoft.com/office/drawing/2014/chart" uri="{C3380CC4-5D6E-409C-BE32-E72D297353CC}">
              <c16:uniqueId val="{00000022-4FB2-46AE-A3D5-8AB39223F75F}"/>
            </c:ext>
          </c:extLst>
        </c:ser>
        <c:ser>
          <c:idx val="9"/>
          <c:order val="9"/>
          <c:tx>
            <c:strRef>
              <c:f>'RPT (4)'!$K$3:$K$4</c:f>
              <c:strCache>
                <c:ptCount val="1"/>
                <c:pt idx="0">
                  <c:v>10-Jan-2010</c:v>
                </c:pt>
              </c:strCache>
            </c:strRef>
          </c:tx>
          <c:spPr>
            <a:solidFill>
              <a:schemeClr val="accent4">
                <a:lumMod val="60000"/>
              </a:schemeClr>
            </a:solidFill>
            <a:ln>
              <a:noFill/>
            </a:ln>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(4)'!$K$5:$K$11</c:f>
              <c:numCache>
                <c:formatCode>General</c:formatCode>
                <c:ptCount val="6"/>
                <c:pt idx="1">
                  <c:v>82404</c:v>
                </c:pt>
                <c:pt idx="2">
                  <c:v>138360</c:v>
                </c:pt>
                <c:pt idx="4">
                  <c:v>301176</c:v>
                </c:pt>
                <c:pt idx="5">
                  <c:v>67000</c:v>
                </c:pt>
              </c:numCache>
            </c:numRef>
          </c:val>
          <c:extLst>
            <c:ext xmlns:c16="http://schemas.microsoft.com/office/drawing/2014/chart" uri="{C3380CC4-5D6E-409C-BE32-E72D297353CC}">
              <c16:uniqueId val="{00000023-4FB2-46AE-A3D5-8AB39223F75F}"/>
            </c:ext>
          </c:extLst>
        </c:ser>
        <c:dLbls>
          <c:showLegendKey val="0"/>
          <c:showVal val="0"/>
          <c:showCatName val="0"/>
          <c:showSerName val="0"/>
          <c:showPercent val="0"/>
          <c:showBubbleSize val="0"/>
        </c:dLbls>
        <c:gapWidth val="100"/>
        <c:axId val="1639225135"/>
        <c:axId val="1792228767"/>
      </c:barChart>
      <c:catAx>
        <c:axId val="163922513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2228767"/>
        <c:auto val="1"/>
        <c:lblAlgn val="ctr"/>
        <c:lblOffset val="100"/>
        <c:noMultiLvlLbl val="0"/>
      </c:catAx>
      <c:valAx>
        <c:axId val="17922287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9225135"/>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[Main Project.xlsm]RPT (3)!PivotTable1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Area</a:t>
            </a:r>
            <a:r>
              <a:rPr lang="en-US" baseline="0"/>
              <a:t> wise Product Quantity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'RPT (3)'!$B$3:$B$4</c:f>
              <c:strCache>
                <c:ptCount val="1"/>
                <c:pt idx="0">
                  <c:v>Computer</c:v>
                </c:pt>
              </c:strCache>
            </c:strRef>
          </c:tx>
          <c:spPr>
            <a:solidFill>
              <a:schemeClr val="accent1"/>
            </a:solidFill>
            <a:ln>
              <a:noFill/>
            </a:ln>
            <a:effectLst/>
          </c:spPr>
          <c:invertIfNegative val="0"/>
          <c:cat>
            <c:strRef>
              <c:f>'RPT (3)'!$A$5:$A$9</c:f>
              <c:strCache>
                <c:ptCount val="4"/>
                <c:pt idx="0">
                  <c:v>East</c:v>
                </c:pt>
                <c:pt idx="1">
                  <c:v>North</c:v>
                </c:pt>
                <c:pt idx="2">
                  <c:v>South</c:v>
                </c:pt>
                <c:pt idx="3">
                  <c:v>West</c:v>
                </c:pt>
              </c:strCache>
            </c:strRef>
          </c:cat>
          <c:val>
            <c:numRef>
              <c:f>'RPT (3)'!$B$5:$B$9</c:f>
              <c:numCache>
                <c:formatCode>General</c:formatCode>
                <c:ptCount val="4"/>
                <c:pt idx="0">
                  <c:v>47</c:v>
                </c:pt>
                <c:pt idx="1">
                  <c:v>82</c:v>
                </c:pt>
                <c:pt idx="3">
                  <c:v>74</c:v>
                </c:pt>
              </c:numCache>
            </c:numRef>
          </c:val>
          <c:extLst>
            <c:ext xmlns:c16="http://schemas.microsoft.com/office/drawing/2014/chart" uri="{C3380CC4-5D6E-409C-BE32-E72D297353CC}">
              <c16:uniqueId val="{00000008-0FD3-4698-86A0-C08400874CCD}"/>
            </c:ext>
          </c:extLst>
        </c:ser>
        <c:ser>
          <c:idx val="1"/>
          <c:order val="1"/>
          <c:tx>
            <c:strRef>
              <c:f>'RPT (3)'!$C$3:$C$4</c:f>
              <c:strCache>
                <c:ptCount val="1"/>
                <c:pt idx="0">
                  <c:v>Hard Disc</c:v>
                </c:pt>
              </c:strCache>
            </c:strRef>
          </c:tx>
          <c:spPr>
            <a:solidFill>
              <a:schemeClr val="accent2"/>
            </a:solidFill>
            <a:ln>
              <a:noFill/>
            </a:ln>
            <a:effectLst/>
          </c:spPr>
          <c:invertIfNegative val="0"/>
          <c:cat>
            <c:strRef>
              <c:f>'RPT (3)'!$A$5:$A$9</c:f>
              <c:strCache>
                <c:ptCount val="4"/>
                <c:pt idx="0">
                  <c:v>East</c:v>
                </c:pt>
                <c:pt idx="1">
                  <c:v>North</c:v>
                </c:pt>
                <c:pt idx="2">
                  <c:v>South</c:v>
                </c:pt>
                <c:pt idx="3">
                  <c:v>West</c:v>
                </c:pt>
              </c:strCache>
            </c:strRef>
          </c:cat>
          <c:val>
            <c:numRef>
              <c:f>'RPT (3)'!$C$5:$C$9</c:f>
              <c:numCache>
                <c:formatCode>General</c:formatCode>
                <c:ptCount val="4"/>
                <c:pt idx="0">
                  <c:v>45</c:v>
                </c:pt>
                <c:pt idx="2">
                  <c:v>96</c:v>
                </c:pt>
              </c:numCache>
            </c:numRef>
          </c:val>
          <c:extLst>
            <c:ext xmlns:c16="http://schemas.microsoft.com/office/drawing/2014/chart" uri="{C3380CC4-5D6E-409C-BE32-E72D297353CC}">
              <c16:uniqueId val="{00000013-0FD3-4698-86A0-C08400874CCD}"/>
            </c:ext>
          </c:extLst>
        </c:ser>
        <c:ser>
          <c:idx val="2"/>
          <c:order val="2"/>
          <c:tx>
            <c:strRef>
              <c:f>'RPT (3)'!$D$3:$D$4</c:f>
              <c:strCache>
                <c:ptCount val="1"/>
                <c:pt idx="0">
                  <c:v>Laptop</c:v>
                </c:pt>
              </c:strCache>
            </c:strRef>
          </c:tx>
          <c:spPr>
            <a:solidFill>
              <a:schemeClr val="accent3"/>
            </a:solidFill>
            <a:ln>
              <a:noFill/>
            </a:ln>
            <a:effectLst/>
          </c:spPr>
          <c:invertIfNegative val="0"/>
          <c:cat>
            <c:strRef>
              <c:f>'RPT (3)'!$A$5:$A$9</c:f>
              <c:strCache>
                <c:ptCount val="4"/>
                <c:pt idx="0">
                  <c:v>East</c:v>
                </c:pt>
                <c:pt idx="1">
                  <c:v>North</c:v>
                </c:pt>
                <c:pt idx="2">
                  <c:v>South</c:v>
                </c:pt>
                <c:pt idx="3">
                  <c:v>West</c:v>
                </c:pt>
              </c:strCache>
            </c:strRef>
          </c:cat>
          <c:val>
            <c:numRef>
              <c:f>'RPT (3)'!$D$5:$D$9</c:f>
              <c:numCache>
                <c:formatCode>General</c:formatCode>
                <c:ptCount val="4"/>
                <c:pt idx="1">
                  <c:v>80</c:v>
                </c:pt>
                <c:pt idx="3">
                  <c:v>60</c:v>
                </c:pt>
              </c:numCache>
            </c:numRef>
          </c:val>
          <c:extLst>
            <c:ext xmlns:c16="http://schemas.microsoft.com/office/drawing/2014/chart" uri="{C3380CC4-5D6E-409C-BE32-E72D297353CC}">
              <c16:uniqueId val="{00000014-0FD3-4698-86A0-C08400874CCD}"/>
            </c:ext>
          </c:extLst>
        </c:ser>
        <c:ser>
          <c:idx val="3"/>
          <c:order val="3"/>
          <c:tx>
            <c:strRef>
              <c:f>'RPT (3)'!$E$3:$E$4</c:f>
              <c:strCache>
                <c:ptCount val="1"/>
                <c:pt idx="0">
                  <c:v>Mobile</c:v>
                </c:pt>
              </c:strCache>
            </c:strRef>
          </c:tx>
          <c:spPr>
            <a:solidFill>
              <a:schemeClr val="accent4"/>
            </a:solidFill>
            <a:ln>
              <a:noFill/>
            </a:ln>
            <a:effectLst/>
          </c:spPr>
          <c:invertIfNegative val="0"/>
          <c:cat>
            <c:strRef>
              <c:f>'RPT (3)'!$A$5:$A$9</c:f>
              <c:strCache>
                <c:ptCount val="4"/>
                <c:pt idx="0">
                  <c:v>East</c:v>
                </c:pt>
                <c:pt idx="1">
                  <c:v>North</c:v>
                </c:pt>
                <c:pt idx="2">
                  <c:v>South</c:v>
                </c:pt>
                <c:pt idx="3">
                  <c:v>West</c:v>
                </c:pt>
              </c:strCache>
            </c:strRef>
          </c:cat>
          <c:val>
            <c:numRef>
              <c:f>'RPT (3)'!$E$5:$E$9</c:f>
              <c:numCache>
                <c:formatCode>General</c:formatCode>
                <c:ptCount val="4"/>
                <c:pt idx="0">
                  <c:v>38</c:v>
                </c:pt>
                <c:pt idx="2">
                  <c:v>84</c:v>
                </c:pt>
                <c:pt idx="3">
                  <c:v>86</c:v>
                </c:pt>
              </c:numCache>
            </c:numRef>
          </c:val>
          <c:extLst>
            <c:ext xmlns:c16="http://schemas.microsoft.com/office/drawing/2014/chart" uri="{C3380CC4-5D6E-409C-BE32-E72D297353CC}">
              <c16:uniqueId val="{00000015-0FD3-4698-86A0-C08400874CCD}"/>
            </c:ext>
          </c:extLst>
        </c:ser>
        <c:ser>
          <c:idx val="4"/>
          <c:order val="4"/>
          <c:tx>
            <c:strRef>
              <c:f>'RPT (3)'!$F$3:$F$4</c:f>
              <c:strCache>
                <c:ptCount val="1"/>
                <c:pt idx="0">
                  <c:v>Table</c:v>
                </c:pt>
              </c:strCache>
            </c:strRef>
          </c:tx>
          <c:spPr>
            <a:solidFill>
              <a:schemeClr val="accent5"/>
            </a:solidFill>
            <a:ln>
              <a:noFill/>
            </a:ln>
            <a:effectLst/>
          </c:spPr>
          <c:invertIfNegative val="0"/>
          <c:cat>
            <c:strRef>
              <c:f>'RPT (3)'!$A$5:$A$9</c:f>
              <c:strCache>
                <c:ptCount val="4"/>
                <c:pt idx="0">
                  <c:v>East</c:v>
                </c:pt>
                <c:pt idx="1">
                  <c:v>North</c:v>
                </c:pt>
                <c:pt idx="2">
                  <c:v>South</c:v>
                </c:pt>
                <c:pt idx="3">
                  <c:v>West</c:v>
                </c:pt>
              </c:strCache>
            </c:strRef>
          </c:cat>
          <c:val>
            <c:numRef>
              <c:f>'RPT (3)'!$F$5:$F$9</c:f>
              <c:numCache>
                <c:formatCode>General</c:formatCode>
                <c:ptCount val="4"/>
                <c:pt idx="0">
                  <c:v>44</c:v>
                </c:pt>
                <c:pt idx="1">
                  <c:v>112</c:v>
                </c:pt>
                <c:pt idx="2">
                  <c:v>92</c:v>
                </c:pt>
                <c:pt idx="3">
                  <c:v>84</c:v>
                </c:pt>
              </c:numCache>
            </c:numRef>
          </c:val>
          <c:extLst>
            <c:ext xmlns:c16="http://schemas.microsoft.com/office/drawing/2014/chart" uri="{C3380CC4-5D6E-409C-BE32-E72D297353CC}">
              <c16:uniqueId val="{00000018-0FD3-4698-86A0-C08400874CCD}"/>
            </c:ext>
          </c:extLst>
        </c:ser>
        <c:ser>
          <c:idx val="5"/>
          <c:order val="5"/>
          <c:tx>
            <c:strRef>
              <c:f>'RPT (3)'!$G$3:$G$4</c:f>
              <c:strCache>
                <c:ptCount val="1"/>
                <c:pt idx="0">
                  <c:v>TV</c:v>
                </c:pt>
              </c:strCache>
            </c:strRef>
          </c:tx>
          <c:spPr>
            <a:solidFill>
              <a:schemeClr val="accent6"/>
            </a:solidFill>
            <a:ln>
              <a:noFill/>
            </a:ln>
            <a:effectLst/>
          </c:spPr>
          <c:invertIfNegative val="0"/>
          <c:cat>
            <c:strRef>
              <c:f>'RPT (3)'!$A$5:$A$9</c:f>
              <c:strCache>
                <c:ptCount val="4"/>
                <c:pt idx="0">
                  <c:v>East</c:v>
                </c:pt>
                <c:pt idx="1">
                  <c:v>North</c:v>
                </c:pt>
                <c:pt idx="2">
                  <c:v>South</c:v>
                </c:pt>
                <c:pt idx="3">
                  <c:v>West</c:v>
                </c:pt>
              </c:strCache>
            </c:strRef>
          </c:cat>
          <c:val>
            <c:numRef>
              <c:f>'RPT (3)'!$G$5:$G$9</c:f>
              <c:numCache>
                <c:formatCode>General</c:formatCode>
                <c:ptCount val="4"/>
                <c:pt idx="0">
                  <c:v>48</c:v>
                </c:pt>
                <c:pt idx="2">
                  <c:v>100</c:v>
                </c:pt>
                <c:pt idx="3">
                  <c:v>76</c:v>
                </c:pt>
              </c:numCache>
            </c:numRef>
          </c:val>
          <c:extLst>
            <c:ext xmlns:c16="http://schemas.microsoft.com/office/drawing/2014/chart" uri="{C3380CC4-5D6E-409C-BE32-E72D297353CC}">
              <c16:uniqueId val="{00000019-0FD3-4698-86A0-C08400874CCD}"/>
            </c:ext>
          </c:extLst>
        </c:ser>
        <c:dLbls>
          <c:showLegendKey val="0"/>
          <c:showVal val="0"/>
          <c:showCatName val="0"/>
          <c:showSerName val="0"/>
          <c:showPercent val="0"/>
          <c:showBubbleSize val="0"/>
        </c:dLbls>
        <c:gapWidth val="100"/>
        <c:axId val="1639238335"/>
        <c:axId val="1792242495"/>
      </c:barChart>
      <c:valAx>
        <c:axId val="179224249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9238335"/>
        <c:crossBetween val="between"/>
      </c:valAx>
      <c:catAx>
        <c:axId val="1639238335"/>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2242495"/>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[Main Project.xlsm]RPT (2)!PivotTable1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Product wise Total sale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'RPT (2)'!$B$3:$B$4</c:f>
              <c:strCache>
                <c:ptCount val="1"/>
                <c:pt idx="0">
                  <c:v>Computer</c:v>
                </c:pt>
              </c:strCache>
            </c:strRef>
          </c:tx>
          <c:dPt>
            <c:idx val="0"/>
            <c:bubble3D val="0"/>
            <c:spPr>
              <a:solidFill>
                <a:schemeClr val="accent1"/>
              </a:solidFill>
              <a:ln>
                <a:noFill/>
              </a:ln>
              <a:effectLst/>
              <a:sp3d/>
            </c:spPr>
            <c:extLst>
              <c:ext xmlns:c16="http://schemas.microsoft.com/office/drawing/2014/chart" uri="{C3380CC4-5D6E-409C-BE32-E72D297353CC}">
                <c16:uniqueId val="{00000001-906C-4CDF-8DDD-169F9AA03914}"/>
              </c:ext>
            </c:extLst>
          </c:dPt>
          <c:cat>
            <c:strRef>
              <c:f>'RPT (2)'!$A$5</c:f>
              <c:strCache>
                <c:ptCount val="1"/>
                <c:pt idx="0">
                  <c:v>Total</c:v>
                </c:pt>
              </c:strCache>
            </c:strRef>
          </c:cat>
          <c:val>
            <c:numRef>
              <c:f>'RPT (2)'!$B$5</c:f>
              <c:numCache>
                <c:formatCode>General</c:formatCode>
                <c:ptCount val="1"/>
                <c:pt idx="0">
                  <c:v>729423</c:v>
                </c:pt>
              </c:numCache>
            </c:numRef>
          </c:val>
          <c:extLst>
            <c:ext xmlns:c16="http://schemas.microsoft.com/office/drawing/2014/chart" uri="{C3380CC4-5D6E-409C-BE32-E72D297353CC}">
              <c16:uniqueId val="{00000008-906C-4CDF-8DDD-169F9AA03914}"/>
            </c:ext>
          </c:extLst>
        </c:ser>
        <c:ser>
          <c:idx val="1"/>
          <c:order val="1"/>
          <c:tx>
            <c:strRef>
              <c:f>'RPT (2)'!$C$3:$C$4</c:f>
              <c:strCache>
                <c:ptCount val="1"/>
                <c:pt idx="0">
                  <c:v>Hard Disc</c:v>
                </c:pt>
              </c:strCache>
            </c:strRef>
          </c:tx>
          <c:dPt>
            <c:idx val="0"/>
            <c:bubble3D val="0"/>
            <c:spPr>
              <a:solidFill>
                <a:schemeClr val="accent1"/>
              </a:solidFill>
              <a:ln>
                <a:noFill/>
              </a:ln>
              <a:effectLst/>
              <a:sp3d/>
            </c:spPr>
          </c:dPt>
          <c:cat>
            <c:strRef>
              <c:f>'RPT (2)'!$A$5</c:f>
              <c:strCache>
                <c:ptCount val="1"/>
                <c:pt idx="0">
                  <c:v>Total</c:v>
                </c:pt>
              </c:strCache>
            </c:strRef>
          </c:cat>
          <c:val>
            <c:numRef>
              <c:f>'RPT (2)'!$C$5</c:f>
              <c:numCache>
                <c:formatCode>General</c:formatCode>
                <c:ptCount val="1"/>
                <c:pt idx="0">
                  <c:v>437552</c:v>
                </c:pt>
              </c:numCache>
            </c:numRef>
          </c:val>
          <c:extLst>
            <c:ext xmlns:c16="http://schemas.microsoft.com/office/drawing/2014/chart" uri="{C3380CC4-5D6E-409C-BE32-E72D297353CC}">
              <c16:uniqueId val="{00000017-906C-4CDF-8DDD-169F9AA03914}"/>
            </c:ext>
          </c:extLst>
        </c:ser>
        <c:ser>
          <c:idx val="2"/>
          <c:order val="2"/>
          <c:tx>
            <c:strRef>
              <c:f>'RPT (2)'!$D$3:$D$4</c:f>
              <c:strCache>
                <c:ptCount val="1"/>
                <c:pt idx="0">
                  <c:v>Laptop</c:v>
                </c:pt>
              </c:strCache>
            </c:strRef>
          </c:tx>
          <c:dPt>
            <c:idx val="0"/>
            <c:bubble3D val="0"/>
            <c:spPr>
              <a:solidFill>
                <a:schemeClr val="accent1"/>
              </a:solidFill>
              <a:ln>
                <a:noFill/>
              </a:ln>
              <a:effectLst/>
              <a:sp3d/>
            </c:spPr>
          </c:dPt>
          <c:cat>
            <c:strRef>
              <c:f>'RPT (2)'!$A$5</c:f>
              <c:strCache>
                <c:ptCount val="1"/>
                <c:pt idx="0">
                  <c:v>Total</c:v>
                </c:pt>
              </c:strCache>
            </c:strRef>
          </c:cat>
          <c:val>
            <c:numRef>
              <c:f>'RPT (2)'!$D$5</c:f>
              <c:numCache>
                <c:formatCode>General</c:formatCode>
                <c:ptCount val="1"/>
                <c:pt idx="0">
                  <c:v>485596</c:v>
                </c:pt>
              </c:numCache>
            </c:numRef>
          </c:val>
          <c:extLst>
            <c:ext xmlns:c16="http://schemas.microsoft.com/office/drawing/2014/chart" uri="{C3380CC4-5D6E-409C-BE32-E72D297353CC}">
              <c16:uniqueId val="{00000018-906C-4CDF-8DDD-169F9AA03914}"/>
            </c:ext>
          </c:extLst>
        </c:ser>
        <c:ser>
          <c:idx val="3"/>
          <c:order val="3"/>
          <c:tx>
            <c:strRef>
              <c:f>'RPT (2)'!$E$3:$E$4</c:f>
              <c:strCache>
                <c:ptCount val="1"/>
                <c:pt idx="0">
                  <c:v>Mobile</c:v>
                </c:pt>
              </c:strCache>
            </c:strRef>
          </c:tx>
          <c:dPt>
            <c:idx val="0"/>
            <c:bubble3D val="0"/>
            <c:spPr>
              <a:solidFill>
                <a:schemeClr val="accent1"/>
              </a:solidFill>
              <a:ln>
                <a:noFill/>
              </a:ln>
              <a:effectLst/>
              <a:sp3d/>
            </c:spPr>
          </c:dPt>
          <c:cat>
            <c:strRef>
              <c:f>'RPT (2)'!$A$5</c:f>
              <c:strCache>
                <c:ptCount val="1"/>
                <c:pt idx="0">
                  <c:v>Total</c:v>
                </c:pt>
              </c:strCache>
            </c:strRef>
          </c:cat>
          <c:val>
            <c:numRef>
              <c:f>'RPT (2)'!$E$5</c:f>
              <c:numCache>
                <c:formatCode>General</c:formatCode>
                <c:ptCount val="1"/>
                <c:pt idx="0">
                  <c:v>750168</c:v>
                </c:pt>
              </c:numCache>
            </c:numRef>
          </c:val>
          <c:extLst>
            <c:ext xmlns:c16="http://schemas.microsoft.com/office/drawing/2014/chart" uri="{C3380CC4-5D6E-409C-BE32-E72D297353CC}">
              <c16:uniqueId val="{00000019-906C-4CDF-8DDD-169F9AA03914}"/>
            </c:ext>
          </c:extLst>
        </c:ser>
        <c:ser>
          <c:idx val="4"/>
          <c:order val="4"/>
          <c:tx>
            <c:strRef>
              <c:f>'RPT (2)'!$F$3:$F$4</c:f>
              <c:strCache>
                <c:ptCount val="1"/>
                <c:pt idx="0">
                  <c:v>Table</c:v>
                </c:pt>
              </c:strCache>
            </c:strRef>
          </c:tx>
          <c:dPt>
            <c:idx val="0"/>
            <c:bubble3D val="0"/>
            <c:spPr>
              <a:solidFill>
                <a:schemeClr val="accent1"/>
              </a:solidFill>
              <a:ln>
                <a:noFill/>
              </a:ln>
              <a:effectLst/>
              <a:sp3d/>
            </c:spPr>
          </c:dPt>
          <c:cat>
            <c:strRef>
              <c:f>'RPT (2)'!$A$5</c:f>
              <c:strCache>
                <c:ptCount val="1"/>
                <c:pt idx="0">
                  <c:v>Total</c:v>
                </c:pt>
              </c:strCache>
            </c:strRef>
          </c:cat>
          <c:val>
            <c:numRef>
              <c:f>'RPT (2)'!$F$5</c:f>
              <c:numCache>
                <c:formatCode>General</c:formatCode>
                <c:ptCount val="1"/>
                <c:pt idx="0">
                  <c:v>1291616</c:v>
                </c:pt>
              </c:numCache>
            </c:numRef>
          </c:val>
          <c:extLst>
            <c:ext xmlns:c16="http://schemas.microsoft.com/office/drawing/2014/chart" uri="{C3380CC4-5D6E-409C-BE32-E72D297353CC}">
              <c16:uniqueId val="{0000001C-906C-4CDF-8DDD-169F9AA03914}"/>
            </c:ext>
          </c:extLst>
        </c:ser>
        <c:ser>
          <c:idx val="5"/>
          <c:order val="5"/>
          <c:tx>
            <c:strRef>
              <c:f>'RPT (2)'!$G$3:$G$4</c:f>
              <c:strCache>
                <c:ptCount val="1"/>
                <c:pt idx="0">
                  <c:v>TV</c:v>
                </c:pt>
              </c:strCache>
            </c:strRef>
          </c:tx>
          <c:dPt>
            <c:idx val="0"/>
            <c:bubble3D val="0"/>
            <c:spPr>
              <a:solidFill>
                <a:schemeClr val="accent1"/>
              </a:solidFill>
              <a:ln>
                <a:noFill/>
              </a:ln>
              <a:effectLst/>
              <a:sp3d/>
            </c:spPr>
          </c:dPt>
          <c:cat>
            <c:strRef>
              <c:f>'RPT (2)'!$A$5</c:f>
              <c:strCache>
                <c:ptCount val="1"/>
                <c:pt idx="0">
                  <c:v>Total</c:v>
                </c:pt>
              </c:strCache>
            </c:strRef>
          </c:cat>
          <c:val>
            <c:numRef>
              <c:f>'RPT (2)'!$G$5</c:f>
              <c:numCache>
                <c:formatCode>General</c:formatCode>
                <c:ptCount val="1"/>
                <c:pt idx="0">
                  <c:v>785488</c:v>
                </c:pt>
              </c:numCache>
            </c:numRef>
          </c:val>
          <c:extLst>
            <c:ext xmlns:c16="http://schemas.microsoft.com/office/drawing/2014/chart" uri="{C3380CC4-5D6E-409C-BE32-E72D297353CC}">
              <c16:uniqueId val="{0000001D-906C-4CDF-8DDD-169F9AA03914}"/>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[Main Project.xlsm]RPT!PivotTable1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Area</a:t>
            </a:r>
            <a:r>
              <a:rPr lang="en-US" baseline="0"/>
              <a:t> wise Total sale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s>
    <c:plotArea>
      <c:layout/>
      <c:doughnutChart>
        <c:varyColors val="1"/>
        <c:ser>
          <c:idx val="0"/>
          <c:order val="0"/>
          <c:tx>
            <c:strRef>
              <c:f>RPT!$B$3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4070-4634-B01B-407173679F2F}"/>
              </c:ext>
            </c:extLst>
          </c:dPt>
          <c:dPt>
            <c:idx val="1"/>
            <c:bubble3D val="0"/>
            <c:spPr>
              <a:solidFill>
                <a:schemeClr val="accent2"/>
              </a:solidFill>
              <a:ln>
                <a:noFill/>
              </a:ln>
              <a:effectLst/>
            </c:spPr>
            <c:extLst>
              <c:ext xmlns:c16="http://schemas.microsoft.com/office/drawing/2014/chart" uri="{C3380CC4-5D6E-409C-BE32-E72D297353CC}">
                <c16:uniqueId val="{00000003-4070-4634-B01B-407173679F2F}"/>
              </c:ext>
            </c:extLst>
          </c:dPt>
          <c:dPt>
            <c:idx val="2"/>
            <c:bubble3D val="0"/>
            <c:spPr>
              <a:solidFill>
                <a:schemeClr val="accent3"/>
              </a:solidFill>
              <a:ln>
                <a:noFill/>
              </a:ln>
              <a:effectLst/>
            </c:spPr>
            <c:extLst>
              <c:ext xmlns:c16="http://schemas.microsoft.com/office/drawing/2014/chart" uri="{C3380CC4-5D6E-409C-BE32-E72D297353CC}">
                <c16:uniqueId val="{00000005-4070-4634-B01B-407173679F2F}"/>
              </c:ext>
            </c:extLst>
          </c:dPt>
          <c:dPt>
            <c:idx val="3"/>
            <c:bubble3D val="0"/>
            <c:spPr>
              <a:solidFill>
                <a:schemeClr val="accent4"/>
              </a:solidFill>
              <a:ln>
                <a:noFill/>
              </a:ln>
              <a:effectLst/>
            </c:spPr>
            <c:extLst>
              <c:ext xmlns:c16="http://schemas.microsoft.com/office/drawing/2014/chart" uri="{C3380CC4-5D6E-409C-BE32-E72D297353CC}">
                <c16:uniqueId val="{00000007-4070-4634-B01B-407173679F2F}"/>
              </c:ext>
            </c:extLst>
          </c:dPt>
          <c:cat>
            <c:strRef>
              <c:f>RPT!$A$4:$A$8</c:f>
              <c:strCache>
                <c:ptCount val="4"/>
                <c:pt idx="0">
                  <c:v>East</c:v>
                </c:pt>
                <c:pt idx="1">
                  <c:v>North</c:v>
                </c:pt>
                <c:pt idx="2">
                  <c:v>South</c:v>
                </c:pt>
                <c:pt idx="3">
                  <c:v>West</c:v>
                </c:pt>
              </c:strCache>
            </c:strRef>
          </c:cat>
          <c:val>
            <c:numRef>
              <c:f>RPT!$B$4:$B$8</c:f>
              <c:numCache>
                <c:formatCode>General</c:formatCode>
                <c:ptCount val="4"/>
                <c:pt idx="0">
                  <c:v>773681</c:v>
                </c:pt>
                <c:pt idx="1">
                  <c:v>1042698</c:v>
                </c:pt>
                <c:pt idx="2">
                  <c:v>1353908</c:v>
                </c:pt>
                <c:pt idx="3">
                  <c:v>1309556</c:v>
                </c:pt>
              </c:numCache>
            </c:numRef>
          </c:val>
          <c:extLst>
            <c:ext xmlns:c16="http://schemas.microsoft.com/office/drawing/2014/chart" uri="{C3380CC4-5D6E-409C-BE32-E72D297353CC}">
              <c16:uniqueId val="{00000000-BA59-43CE-BB11-6C84AEA68B76}"/>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28222</xdr:colOff>
      <xdr:row>15</xdr:row>
      <xdr:rowOff>131703</xdr:rowOff>
    </xdr:from>
    <xdr:to>
      <xdr:col>9</xdr:col>
      <xdr:colOff>11289</xdr:colOff>
      <xdr:row>31</xdr:row>
      <xdr:rowOff>15051</xdr:rowOff>
    </xdr:to>
    <xdr:graphicFrame macro="">
      <xdr:nvGraphicFramePr>
        <xdr:cNvPr id="3" name="Chart 2">
          <a:extLst>
            <a:ext uri="{FF2B5EF4-FFF2-40B4-BE49-F238E27FC236}">
              <a16:creationId xmlns:a16="http://schemas.microsoft.com/office/drawing/2014/main" id="{A699538F-E6E0-460F-97A1-BAB1AE0897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601791</xdr:colOff>
      <xdr:row>0</xdr:row>
      <xdr:rowOff>47037</xdr:rowOff>
    </xdr:from>
    <xdr:to>
      <xdr:col>17</xdr:col>
      <xdr:colOff>584858</xdr:colOff>
      <xdr:row>15</xdr:row>
      <xdr:rowOff>109126</xdr:rowOff>
    </xdr:to>
    <xdr:graphicFrame macro="">
      <xdr:nvGraphicFramePr>
        <xdr:cNvPr id="5" name="Chart 4">
          <a:extLst>
            <a:ext uri="{FF2B5EF4-FFF2-40B4-BE49-F238E27FC236}">
              <a16:creationId xmlns:a16="http://schemas.microsoft.com/office/drawing/2014/main" id="{5AFC2F10-6E18-4B64-A70B-66D15A7357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28223</xdr:colOff>
      <xdr:row>15</xdr:row>
      <xdr:rowOff>106957</xdr:rowOff>
    </xdr:from>
    <xdr:to>
      <xdr:col>18</xdr:col>
      <xdr:colOff>11289</xdr:colOff>
      <xdr:row>30</xdr:row>
      <xdr:rowOff>169046</xdr:rowOff>
    </xdr:to>
    <xdr:graphicFrame macro="">
      <xdr:nvGraphicFramePr>
        <xdr:cNvPr id="7" name="Chart 6">
          <a:extLst>
            <a:ext uri="{FF2B5EF4-FFF2-40B4-BE49-F238E27FC236}">
              <a16:creationId xmlns:a16="http://schemas.microsoft.com/office/drawing/2014/main" id="{85EF39F1-477F-4B71-B75B-AF96456051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0</xdr:row>
      <xdr:rowOff>59917</xdr:rowOff>
    </xdr:from>
    <xdr:to>
      <xdr:col>8</xdr:col>
      <xdr:colOff>594548</xdr:colOff>
      <xdr:row>15</xdr:row>
      <xdr:rowOff>122006</xdr:rowOff>
    </xdr:to>
    <xdr:graphicFrame macro="">
      <xdr:nvGraphicFramePr>
        <xdr:cNvPr id="9" name="Chart 8">
          <a:extLst>
            <a:ext uri="{FF2B5EF4-FFF2-40B4-BE49-F238E27FC236}">
              <a16:creationId xmlns:a16="http://schemas.microsoft.com/office/drawing/2014/main" id="{C0C4D28F-5C78-4304-A9A5-FE0E4ABCAE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18</xdr:col>
      <xdr:colOff>62884</xdr:colOff>
      <xdr:row>17</xdr:row>
      <xdr:rowOff>122281</xdr:rowOff>
    </xdr:from>
    <xdr:to>
      <xdr:col>25</xdr:col>
      <xdr:colOff>342472</xdr:colOff>
      <xdr:row>28</xdr:row>
      <xdr:rowOff>31898</xdr:rowOff>
    </xdr:to>
    <mc:AlternateContent xmlns:mc="http://schemas.openxmlformats.org/markup-compatibility/2006">
      <mc:Choice xmlns:a14="http://schemas.microsoft.com/office/drawing/2010/main" Requires="a14">
        <xdr:graphicFrame macro="">
          <xdr:nvGraphicFramePr>
            <xdr:cNvPr id="10" name="Date">
              <a:extLst>
                <a:ext uri="{FF2B5EF4-FFF2-40B4-BE49-F238E27FC236}">
                  <a16:creationId xmlns:a16="http://schemas.microsoft.com/office/drawing/2014/main" id="{3CB76C5A-EA97-4A9D-B6CC-AA9A4BF59EB8}"/>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dr:sp macro="" textlink="">
          <xdr:nvSpPr>
            <xdr:cNvPr id="0" name=""/>
            <xdr:cNvSpPr>
              <a:spLocks noTextEdit="1"/>
            </xdr:cNvSpPr>
          </xdr:nvSpPr>
          <xdr:spPr>
            <a:xfrm>
              <a:off x="11004862" y="3178843"/>
              <a:ext cx="4534801" cy="188739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53189</xdr:colOff>
      <xdr:row>6</xdr:row>
      <xdr:rowOff>83439</xdr:rowOff>
    </xdr:from>
    <xdr:to>
      <xdr:col>25</xdr:col>
      <xdr:colOff>325348</xdr:colOff>
      <xdr:row>12</xdr:row>
      <xdr:rowOff>9149</xdr:rowOff>
    </xdr:to>
    <mc:AlternateContent xmlns:mc="http://schemas.openxmlformats.org/markup-compatibility/2006">
      <mc:Choice xmlns:a14="http://schemas.microsoft.com/office/drawing/2010/main" Requires="a14">
        <xdr:graphicFrame macro="">
          <xdr:nvGraphicFramePr>
            <xdr:cNvPr id="11" name="Product">
              <a:extLst>
                <a:ext uri="{FF2B5EF4-FFF2-40B4-BE49-F238E27FC236}">
                  <a16:creationId xmlns:a16="http://schemas.microsoft.com/office/drawing/2014/main" id="{5E4509AF-CADA-4AAB-B917-525C36B85549}"/>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dr:sp macro="" textlink="">
          <xdr:nvSpPr>
            <xdr:cNvPr id="0" name=""/>
            <xdr:cNvSpPr>
              <a:spLocks noTextEdit="1"/>
            </xdr:cNvSpPr>
          </xdr:nvSpPr>
          <xdr:spPr>
            <a:xfrm>
              <a:off x="10995167" y="1162226"/>
              <a:ext cx="4527372" cy="100449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63694</xdr:colOff>
      <xdr:row>12</xdr:row>
      <xdr:rowOff>22883</xdr:rowOff>
    </xdr:from>
    <xdr:to>
      <xdr:col>25</xdr:col>
      <xdr:colOff>325348</xdr:colOff>
      <xdr:row>17</xdr:row>
      <xdr:rowOff>119530</xdr:rowOff>
    </xdr:to>
    <mc:AlternateContent xmlns:mc="http://schemas.openxmlformats.org/markup-compatibility/2006">
      <mc:Choice xmlns:a14="http://schemas.microsoft.com/office/drawing/2010/main" Requires="a14">
        <xdr:graphicFrame macro="">
          <xdr:nvGraphicFramePr>
            <xdr:cNvPr id="12" name="Name">
              <a:extLst>
                <a:ext uri="{FF2B5EF4-FFF2-40B4-BE49-F238E27FC236}">
                  <a16:creationId xmlns:a16="http://schemas.microsoft.com/office/drawing/2014/main" id="{6C69483B-637B-4C80-89D4-1E42E8C37FC5}"/>
                </a:ext>
              </a:extLst>
            </xdr:cNvPr>
            <xdr:cNvGraphicFramePr/>
          </xdr:nvGraphicFramePr>
          <xdr:xfrm>
            <a:off x="0" y="0"/>
            <a:ext cx="0" cy="0"/>
          </xdr:xfrm>
          <a:graphic>
            <a:graphicData uri="http://schemas.microsoft.com/office/drawing/2010/slicer">
              <sle:slicer xmlns:sle="http://schemas.microsoft.com/office/drawing/2010/slicer" name="Name"/>
            </a:graphicData>
          </a:graphic>
        </xdr:graphicFrame>
      </mc:Choice>
      <mc:Fallback>
        <xdr:sp macro="" textlink="">
          <xdr:nvSpPr>
            <xdr:cNvPr id="0" name=""/>
            <xdr:cNvSpPr>
              <a:spLocks noTextEdit="1"/>
            </xdr:cNvSpPr>
          </xdr:nvSpPr>
          <xdr:spPr>
            <a:xfrm>
              <a:off x="11005672" y="2180456"/>
              <a:ext cx="4516867" cy="99563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60978</xdr:colOff>
      <xdr:row>1</xdr:row>
      <xdr:rowOff>13514</xdr:rowOff>
    </xdr:from>
    <xdr:to>
      <xdr:col>25</xdr:col>
      <xdr:colOff>332903</xdr:colOff>
      <xdr:row>6</xdr:row>
      <xdr:rowOff>89277</xdr:rowOff>
    </xdr:to>
    <mc:AlternateContent xmlns:mc="http://schemas.openxmlformats.org/markup-compatibility/2006">
      <mc:Choice xmlns:a14="http://schemas.microsoft.com/office/drawing/2010/main" Requires="a14">
        <xdr:graphicFrame macro="">
          <xdr:nvGraphicFramePr>
            <xdr:cNvPr id="13" name="Area">
              <a:extLst>
                <a:ext uri="{FF2B5EF4-FFF2-40B4-BE49-F238E27FC236}">
                  <a16:creationId xmlns:a16="http://schemas.microsoft.com/office/drawing/2014/main" id="{50808675-41AA-4BA3-AA5A-01B4E7D90BCC}"/>
                </a:ext>
              </a:extLst>
            </xdr:cNvPr>
            <xdr:cNvGraphicFramePr/>
          </xdr:nvGraphicFramePr>
          <xdr:xfrm>
            <a:off x="0" y="0"/>
            <a:ext cx="0" cy="0"/>
          </xdr:xfrm>
          <a:graphic>
            <a:graphicData uri="http://schemas.microsoft.com/office/drawing/2010/slicer">
              <sle:slicer xmlns:sle="http://schemas.microsoft.com/office/drawing/2010/slicer" name="Area"/>
            </a:graphicData>
          </a:graphic>
        </xdr:graphicFrame>
      </mc:Choice>
      <mc:Fallback>
        <xdr:sp macro="" textlink="">
          <xdr:nvSpPr>
            <xdr:cNvPr id="0" name=""/>
            <xdr:cNvSpPr>
              <a:spLocks noTextEdit="1"/>
            </xdr:cNvSpPr>
          </xdr:nvSpPr>
          <xdr:spPr>
            <a:xfrm>
              <a:off x="11002956" y="193312"/>
              <a:ext cx="4527138" cy="97475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4</xdr:col>
      <xdr:colOff>236220</xdr:colOff>
      <xdr:row>12</xdr:row>
      <xdr:rowOff>106680</xdr:rowOff>
    </xdr:from>
    <xdr:to>
      <xdr:col>11</xdr:col>
      <xdr:colOff>541020</xdr:colOff>
      <xdr:row>27</xdr:row>
      <xdr:rowOff>106680</xdr:rowOff>
    </xdr:to>
    <xdr:graphicFrame macro="">
      <xdr:nvGraphicFramePr>
        <xdr:cNvPr id="2" name="Chart 1">
          <a:extLst>
            <a:ext uri="{FF2B5EF4-FFF2-40B4-BE49-F238E27FC236}">
              <a16:creationId xmlns:a16="http://schemas.microsoft.com/office/drawing/2014/main" id="{1C5973BA-8A38-4DBD-9FE4-36ED63A87C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144780</xdr:colOff>
      <xdr:row>9</xdr:row>
      <xdr:rowOff>144780</xdr:rowOff>
    </xdr:from>
    <xdr:to>
      <xdr:col>14</xdr:col>
      <xdr:colOff>487680</xdr:colOff>
      <xdr:row>24</xdr:row>
      <xdr:rowOff>144780</xdr:rowOff>
    </xdr:to>
    <xdr:graphicFrame macro="">
      <xdr:nvGraphicFramePr>
        <xdr:cNvPr id="2" name="Chart 1">
          <a:extLst>
            <a:ext uri="{FF2B5EF4-FFF2-40B4-BE49-F238E27FC236}">
              <a16:creationId xmlns:a16="http://schemas.microsoft.com/office/drawing/2014/main" id="{F118AC63-D38D-4102-A774-83D93680D7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251460</xdr:colOff>
      <xdr:row>7</xdr:row>
      <xdr:rowOff>15240</xdr:rowOff>
    </xdr:from>
    <xdr:to>
      <xdr:col>11</xdr:col>
      <xdr:colOff>556260</xdr:colOff>
      <xdr:row>22</xdr:row>
      <xdr:rowOff>15240</xdr:rowOff>
    </xdr:to>
    <xdr:graphicFrame macro="">
      <xdr:nvGraphicFramePr>
        <xdr:cNvPr id="2" name="Chart 1">
          <a:extLst>
            <a:ext uri="{FF2B5EF4-FFF2-40B4-BE49-F238E27FC236}">
              <a16:creationId xmlns:a16="http://schemas.microsoft.com/office/drawing/2014/main" id="{49977F7F-5D01-4BEC-A613-35C8EFE171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251460</xdr:colOff>
      <xdr:row>7</xdr:row>
      <xdr:rowOff>15240</xdr:rowOff>
    </xdr:from>
    <xdr:to>
      <xdr:col>11</xdr:col>
      <xdr:colOff>556260</xdr:colOff>
      <xdr:row>22</xdr:row>
      <xdr:rowOff>15240</xdr:rowOff>
    </xdr:to>
    <xdr:graphicFrame macro="">
      <xdr:nvGraphicFramePr>
        <xdr:cNvPr id="2" name="Chart 1">
          <a:extLst>
            <a:ext uri="{FF2B5EF4-FFF2-40B4-BE49-F238E27FC236}">
              <a16:creationId xmlns:a16="http://schemas.microsoft.com/office/drawing/2014/main" id="{A1ABAAE2-8790-4DAB-B86F-5113E8BB1C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117.842225578701" createdVersion="6" refreshedVersion="6" minRefreshableVersion="3" recordCount="107" xr:uid="{0B4E7580-3E4D-4840-93FE-A2D39C8A6418}">
  <cacheSource type="worksheet">
    <worksheetSource name="Data"/>
  </cacheSource>
  <cacheFields count="8">
    <cacheField name="Sr. No." numFmtId="0">
      <sharedItems containsSemiMixedTypes="0" containsString="0" containsNumber="1" containsInteger="1" minValue="1" maxValue="107"/>
    </cacheField>
    <cacheField name="Date" numFmtId="164">
      <sharedItems containsSemiMixedTypes="0" containsNonDate="0" containsDate="1" containsString="0" minDate="2010-01-01T00:00:00" maxDate="2010-01-11T00:00:00" count="10">
        <d v="2010-01-01T00:00:00"/>
        <d v="2010-01-02T00:00:00"/>
        <d v="2010-01-03T00:00:00"/>
        <d v="2010-01-04T00:00:00"/>
        <d v="2010-01-05T00:00:00"/>
        <d v="2010-01-06T00:00:00"/>
        <d v="2010-01-07T00:00:00"/>
        <d v="2010-01-08T00:00:00"/>
        <d v="2010-01-09T00:00:00"/>
        <d v="2010-01-10T00:00:00"/>
      </sharedItems>
    </cacheField>
    <cacheField name="Product" numFmtId="0">
      <sharedItems count="6">
        <s v="Mobile"/>
        <s v="TV"/>
        <s v="Computer"/>
        <s v="Table"/>
        <s v="Hard Disc"/>
        <s v="Laptop"/>
      </sharedItems>
    </cacheField>
    <cacheField name="Name" numFmtId="0">
      <sharedItems count="5">
        <s v="Ashok"/>
        <s v="Anil"/>
        <s v="Sunil"/>
        <s v="Rajesh"/>
        <s v="Mangesh"/>
      </sharedItems>
    </cacheField>
    <cacheField name="Area" numFmtId="0">
      <sharedItems count="4">
        <s v="East"/>
        <s v="West"/>
        <s v="South"/>
        <s v="North"/>
      </sharedItems>
    </cacheField>
    <cacheField name="Qty" numFmtId="0">
      <sharedItems containsSemiMixedTypes="0" containsString="0" containsNumber="1" containsInteger="1" minValue="2" maxValue="18"/>
    </cacheField>
    <cacheField name="Cost" numFmtId="0">
      <sharedItems containsSemiMixedTypes="0" containsString="0" containsNumber="1" containsInteger="1" minValue="2055" maxValue="4953"/>
    </cacheField>
    <cacheField name="Total" numFmtId="0">
      <sharedItems containsSemiMixedTypes="0" containsString="0" containsNumber="1" containsInteger="1" minValue="9586" maxValue="75294"/>
    </cacheField>
  </cacheFields>
  <extLst>
    <ext xmlns:x14="http://schemas.microsoft.com/office/spreadsheetml/2009/9/main" uri="{725AE2AE-9491-48be-B2B4-4EB974FC3084}">
      <x14:pivotCacheDefinition pivotCacheId="74259564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7">
  <r>
    <n v="1"/>
    <x v="0"/>
    <x v="0"/>
    <x v="0"/>
    <x v="0"/>
    <n v="16"/>
    <n v="2195"/>
    <n v="35120"/>
  </r>
  <r>
    <n v="2"/>
    <x v="1"/>
    <x v="1"/>
    <x v="1"/>
    <x v="0"/>
    <n v="16"/>
    <n v="3971"/>
    <n v="63536"/>
  </r>
  <r>
    <n v="3"/>
    <x v="2"/>
    <x v="2"/>
    <x v="2"/>
    <x v="0"/>
    <n v="11"/>
    <n v="4859"/>
    <n v="53449"/>
  </r>
  <r>
    <n v="4"/>
    <x v="3"/>
    <x v="3"/>
    <x v="3"/>
    <x v="0"/>
    <n v="16"/>
    <n v="2055"/>
    <n v="32880"/>
  </r>
  <r>
    <n v="5"/>
    <x v="4"/>
    <x v="4"/>
    <x v="4"/>
    <x v="0"/>
    <n v="17"/>
    <n v="3892"/>
    <n v="66164"/>
  </r>
  <r>
    <n v="6"/>
    <x v="5"/>
    <x v="0"/>
    <x v="0"/>
    <x v="0"/>
    <n v="11"/>
    <n v="4640"/>
    <n v="51040"/>
  </r>
  <r>
    <n v="7"/>
    <x v="6"/>
    <x v="1"/>
    <x v="1"/>
    <x v="0"/>
    <n v="16"/>
    <n v="4610"/>
    <n v="73760"/>
  </r>
  <r>
    <n v="8"/>
    <x v="7"/>
    <x v="2"/>
    <x v="2"/>
    <x v="0"/>
    <n v="18"/>
    <n v="2221"/>
    <n v="39978"/>
  </r>
  <r>
    <n v="9"/>
    <x v="8"/>
    <x v="3"/>
    <x v="3"/>
    <x v="0"/>
    <n v="14"/>
    <n v="3949"/>
    <n v="55286"/>
  </r>
  <r>
    <n v="10"/>
    <x v="9"/>
    <x v="4"/>
    <x v="4"/>
    <x v="0"/>
    <n v="14"/>
    <n v="2943"/>
    <n v="41202"/>
  </r>
  <r>
    <n v="11"/>
    <x v="5"/>
    <x v="0"/>
    <x v="0"/>
    <x v="0"/>
    <n v="11"/>
    <n v="4640"/>
    <n v="51040"/>
  </r>
  <r>
    <n v="12"/>
    <x v="6"/>
    <x v="1"/>
    <x v="1"/>
    <x v="0"/>
    <n v="16"/>
    <n v="4610"/>
    <n v="73760"/>
  </r>
  <r>
    <n v="13"/>
    <x v="7"/>
    <x v="2"/>
    <x v="2"/>
    <x v="0"/>
    <n v="18"/>
    <n v="2221"/>
    <n v="39978"/>
  </r>
  <r>
    <n v="14"/>
    <x v="8"/>
    <x v="3"/>
    <x v="3"/>
    <x v="0"/>
    <n v="14"/>
    <n v="3949"/>
    <n v="55286"/>
  </r>
  <r>
    <n v="15"/>
    <x v="9"/>
    <x v="4"/>
    <x v="4"/>
    <x v="0"/>
    <n v="14"/>
    <n v="2943"/>
    <n v="41202"/>
  </r>
  <r>
    <n v="16"/>
    <x v="0"/>
    <x v="1"/>
    <x v="0"/>
    <x v="1"/>
    <n v="16"/>
    <n v="2856"/>
    <n v="45696"/>
  </r>
  <r>
    <n v="17"/>
    <x v="1"/>
    <x v="0"/>
    <x v="1"/>
    <x v="1"/>
    <n v="13"/>
    <n v="2722"/>
    <n v="35386"/>
  </r>
  <r>
    <n v="18"/>
    <x v="2"/>
    <x v="3"/>
    <x v="2"/>
    <x v="1"/>
    <n v="18"/>
    <n v="2900"/>
    <n v="52200"/>
  </r>
  <r>
    <n v="19"/>
    <x v="3"/>
    <x v="2"/>
    <x v="3"/>
    <x v="1"/>
    <n v="13"/>
    <n v="2236"/>
    <n v="29068"/>
  </r>
  <r>
    <n v="20"/>
    <x v="4"/>
    <x v="5"/>
    <x v="4"/>
    <x v="1"/>
    <n v="10"/>
    <n v="4569"/>
    <n v="45690"/>
  </r>
  <r>
    <n v="21"/>
    <x v="5"/>
    <x v="1"/>
    <x v="0"/>
    <x v="1"/>
    <n v="11"/>
    <n v="3782"/>
    <n v="41602"/>
  </r>
  <r>
    <n v="22"/>
    <x v="6"/>
    <x v="0"/>
    <x v="1"/>
    <x v="1"/>
    <n v="15"/>
    <n v="2823"/>
    <n v="42345"/>
  </r>
  <r>
    <n v="23"/>
    <x v="7"/>
    <x v="3"/>
    <x v="2"/>
    <x v="1"/>
    <n v="12"/>
    <n v="4729"/>
    <n v="56748"/>
  </r>
  <r>
    <n v="24"/>
    <x v="8"/>
    <x v="2"/>
    <x v="3"/>
    <x v="1"/>
    <n v="12"/>
    <n v="4007"/>
    <n v="48084"/>
  </r>
  <r>
    <n v="25"/>
    <x v="9"/>
    <x v="5"/>
    <x v="4"/>
    <x v="1"/>
    <n v="10"/>
    <n v="3459"/>
    <n v="34590"/>
  </r>
  <r>
    <n v="26"/>
    <x v="5"/>
    <x v="1"/>
    <x v="0"/>
    <x v="1"/>
    <n v="11"/>
    <n v="3782"/>
    <n v="41602"/>
  </r>
  <r>
    <n v="27"/>
    <x v="6"/>
    <x v="0"/>
    <x v="1"/>
    <x v="1"/>
    <n v="15"/>
    <n v="2823"/>
    <n v="42345"/>
  </r>
  <r>
    <n v="28"/>
    <x v="7"/>
    <x v="3"/>
    <x v="2"/>
    <x v="1"/>
    <n v="12"/>
    <n v="4729"/>
    <n v="56748"/>
  </r>
  <r>
    <n v="29"/>
    <x v="8"/>
    <x v="2"/>
    <x v="3"/>
    <x v="1"/>
    <n v="12"/>
    <n v="4007"/>
    <n v="48084"/>
  </r>
  <r>
    <n v="30"/>
    <x v="9"/>
    <x v="5"/>
    <x v="4"/>
    <x v="1"/>
    <n v="10"/>
    <n v="3459"/>
    <n v="34590"/>
  </r>
  <r>
    <n v="31"/>
    <x v="0"/>
    <x v="3"/>
    <x v="0"/>
    <x v="2"/>
    <n v="10"/>
    <n v="4057"/>
    <n v="40570"/>
  </r>
  <r>
    <n v="32"/>
    <x v="1"/>
    <x v="4"/>
    <x v="1"/>
    <x v="2"/>
    <n v="18"/>
    <n v="3809"/>
    <n v="68562"/>
  </r>
  <r>
    <n v="33"/>
    <x v="2"/>
    <x v="0"/>
    <x v="2"/>
    <x v="2"/>
    <n v="16"/>
    <n v="3987"/>
    <n v="63792"/>
  </r>
  <r>
    <n v="34"/>
    <x v="3"/>
    <x v="1"/>
    <x v="3"/>
    <x v="2"/>
    <n v="10"/>
    <n v="2346"/>
    <n v="23460"/>
  </r>
  <r>
    <n v="35"/>
    <x v="4"/>
    <x v="1"/>
    <x v="4"/>
    <x v="2"/>
    <n v="8"/>
    <n v="4953"/>
    <n v="39624"/>
  </r>
  <r>
    <n v="36"/>
    <x v="5"/>
    <x v="3"/>
    <x v="0"/>
    <x v="2"/>
    <n v="18"/>
    <n v="4088"/>
    <n v="73584"/>
  </r>
  <r>
    <n v="37"/>
    <x v="6"/>
    <x v="4"/>
    <x v="1"/>
    <x v="2"/>
    <n v="15"/>
    <n v="2531"/>
    <n v="37965"/>
  </r>
  <r>
    <n v="38"/>
    <x v="7"/>
    <x v="0"/>
    <x v="2"/>
    <x v="2"/>
    <n v="13"/>
    <n v="4716"/>
    <n v="61308"/>
  </r>
  <r>
    <n v="39"/>
    <x v="8"/>
    <x v="1"/>
    <x v="3"/>
    <x v="2"/>
    <n v="11"/>
    <n v="2806"/>
    <n v="30866"/>
  </r>
  <r>
    <n v="40"/>
    <x v="9"/>
    <x v="1"/>
    <x v="4"/>
    <x v="2"/>
    <n v="5"/>
    <n v="3350"/>
    <n v="16750"/>
  </r>
  <r>
    <n v="41"/>
    <x v="5"/>
    <x v="3"/>
    <x v="0"/>
    <x v="2"/>
    <n v="18"/>
    <n v="4088"/>
    <n v="73584"/>
  </r>
  <r>
    <n v="42"/>
    <x v="6"/>
    <x v="4"/>
    <x v="1"/>
    <x v="2"/>
    <n v="15"/>
    <n v="2531"/>
    <n v="37965"/>
  </r>
  <r>
    <n v="43"/>
    <x v="7"/>
    <x v="0"/>
    <x v="2"/>
    <x v="2"/>
    <n v="13"/>
    <n v="4716"/>
    <n v="61308"/>
  </r>
  <r>
    <n v="44"/>
    <x v="8"/>
    <x v="1"/>
    <x v="3"/>
    <x v="2"/>
    <n v="11"/>
    <n v="2806"/>
    <n v="30866"/>
  </r>
  <r>
    <n v="45"/>
    <x v="9"/>
    <x v="1"/>
    <x v="4"/>
    <x v="2"/>
    <n v="5"/>
    <n v="3350"/>
    <n v="16750"/>
  </r>
  <r>
    <n v="46"/>
    <x v="0"/>
    <x v="5"/>
    <x v="0"/>
    <x v="3"/>
    <n v="5"/>
    <n v="3270"/>
    <n v="16350"/>
  </r>
  <r>
    <n v="47"/>
    <x v="1"/>
    <x v="2"/>
    <x v="1"/>
    <x v="3"/>
    <n v="17"/>
    <n v="4245"/>
    <n v="72165"/>
  </r>
  <r>
    <n v="48"/>
    <x v="2"/>
    <x v="5"/>
    <x v="2"/>
    <x v="3"/>
    <n v="5"/>
    <n v="4864"/>
    <n v="24320"/>
  </r>
  <r>
    <n v="49"/>
    <x v="3"/>
    <x v="5"/>
    <x v="3"/>
    <x v="3"/>
    <n v="6"/>
    <n v="2381"/>
    <n v="14286"/>
  </r>
  <r>
    <n v="50"/>
    <x v="4"/>
    <x v="3"/>
    <x v="4"/>
    <x v="3"/>
    <n v="10"/>
    <n v="3503"/>
    <n v="35030"/>
  </r>
  <r>
    <n v="51"/>
    <x v="5"/>
    <x v="5"/>
    <x v="0"/>
    <x v="3"/>
    <n v="5"/>
    <n v="3176"/>
    <n v="15880"/>
  </r>
  <r>
    <n v="52"/>
    <x v="6"/>
    <x v="2"/>
    <x v="1"/>
    <x v="3"/>
    <n v="12"/>
    <n v="4192"/>
    <n v="50304"/>
  </r>
  <r>
    <n v="53"/>
    <x v="7"/>
    <x v="5"/>
    <x v="2"/>
    <x v="3"/>
    <n v="2"/>
    <n v="4793"/>
    <n v="9586"/>
  </r>
  <r>
    <n v="54"/>
    <x v="8"/>
    <x v="5"/>
    <x v="3"/>
    <x v="3"/>
    <n v="5"/>
    <n v="2204"/>
    <n v="11020"/>
  </r>
  <r>
    <n v="55"/>
    <x v="9"/>
    <x v="3"/>
    <x v="4"/>
    <x v="3"/>
    <n v="18"/>
    <n v="4183"/>
    <n v="75294"/>
  </r>
  <r>
    <n v="56"/>
    <x v="4"/>
    <x v="3"/>
    <x v="4"/>
    <x v="3"/>
    <n v="10"/>
    <n v="3503"/>
    <n v="35030"/>
  </r>
  <r>
    <n v="57"/>
    <x v="5"/>
    <x v="5"/>
    <x v="0"/>
    <x v="3"/>
    <n v="5"/>
    <n v="3176"/>
    <n v="15880"/>
  </r>
  <r>
    <n v="58"/>
    <x v="6"/>
    <x v="2"/>
    <x v="1"/>
    <x v="3"/>
    <n v="12"/>
    <n v="4192"/>
    <n v="50304"/>
  </r>
  <r>
    <n v="59"/>
    <x v="7"/>
    <x v="5"/>
    <x v="2"/>
    <x v="3"/>
    <n v="2"/>
    <n v="4793"/>
    <n v="9586"/>
  </r>
  <r>
    <n v="60"/>
    <x v="8"/>
    <x v="5"/>
    <x v="3"/>
    <x v="3"/>
    <n v="5"/>
    <n v="2204"/>
    <n v="11020"/>
  </r>
  <r>
    <n v="61"/>
    <x v="9"/>
    <x v="3"/>
    <x v="4"/>
    <x v="3"/>
    <n v="18"/>
    <n v="4183"/>
    <n v="75294"/>
  </r>
  <r>
    <n v="62"/>
    <x v="0"/>
    <x v="1"/>
    <x v="0"/>
    <x v="1"/>
    <n v="16"/>
    <n v="2856"/>
    <n v="45696"/>
  </r>
  <r>
    <n v="63"/>
    <x v="1"/>
    <x v="0"/>
    <x v="1"/>
    <x v="1"/>
    <n v="13"/>
    <n v="2722"/>
    <n v="35386"/>
  </r>
  <r>
    <n v="64"/>
    <x v="2"/>
    <x v="3"/>
    <x v="2"/>
    <x v="1"/>
    <n v="18"/>
    <n v="2900"/>
    <n v="52200"/>
  </r>
  <r>
    <n v="65"/>
    <x v="3"/>
    <x v="2"/>
    <x v="3"/>
    <x v="1"/>
    <n v="13"/>
    <n v="2236"/>
    <n v="29068"/>
  </r>
  <r>
    <n v="66"/>
    <x v="4"/>
    <x v="5"/>
    <x v="4"/>
    <x v="1"/>
    <n v="10"/>
    <n v="4569"/>
    <n v="45690"/>
  </r>
  <r>
    <n v="67"/>
    <x v="5"/>
    <x v="1"/>
    <x v="0"/>
    <x v="1"/>
    <n v="11"/>
    <n v="3782"/>
    <n v="41602"/>
  </r>
  <r>
    <n v="68"/>
    <x v="6"/>
    <x v="0"/>
    <x v="1"/>
    <x v="1"/>
    <n v="15"/>
    <n v="2823"/>
    <n v="42345"/>
  </r>
  <r>
    <n v="69"/>
    <x v="7"/>
    <x v="3"/>
    <x v="2"/>
    <x v="1"/>
    <n v="12"/>
    <n v="4729"/>
    <n v="56748"/>
  </r>
  <r>
    <n v="70"/>
    <x v="8"/>
    <x v="2"/>
    <x v="3"/>
    <x v="1"/>
    <n v="12"/>
    <n v="4007"/>
    <n v="48084"/>
  </r>
  <r>
    <n v="71"/>
    <x v="9"/>
    <x v="5"/>
    <x v="4"/>
    <x v="1"/>
    <n v="10"/>
    <n v="3459"/>
    <n v="34590"/>
  </r>
  <r>
    <n v="72"/>
    <x v="5"/>
    <x v="1"/>
    <x v="0"/>
    <x v="1"/>
    <n v="11"/>
    <n v="3782"/>
    <n v="41602"/>
  </r>
  <r>
    <n v="73"/>
    <x v="6"/>
    <x v="0"/>
    <x v="1"/>
    <x v="1"/>
    <n v="15"/>
    <n v="2823"/>
    <n v="42345"/>
  </r>
  <r>
    <n v="74"/>
    <x v="7"/>
    <x v="3"/>
    <x v="2"/>
    <x v="1"/>
    <n v="12"/>
    <n v="4729"/>
    <n v="56748"/>
  </r>
  <r>
    <n v="75"/>
    <x v="8"/>
    <x v="2"/>
    <x v="3"/>
    <x v="1"/>
    <n v="12"/>
    <n v="4007"/>
    <n v="48084"/>
  </r>
  <r>
    <n v="76"/>
    <x v="9"/>
    <x v="5"/>
    <x v="4"/>
    <x v="1"/>
    <n v="10"/>
    <n v="3459"/>
    <n v="34590"/>
  </r>
  <r>
    <n v="77"/>
    <x v="0"/>
    <x v="3"/>
    <x v="0"/>
    <x v="2"/>
    <n v="10"/>
    <n v="4057"/>
    <n v="40570"/>
  </r>
  <r>
    <n v="78"/>
    <x v="1"/>
    <x v="4"/>
    <x v="1"/>
    <x v="2"/>
    <n v="18"/>
    <n v="3809"/>
    <n v="68562"/>
  </r>
  <r>
    <n v="79"/>
    <x v="2"/>
    <x v="0"/>
    <x v="2"/>
    <x v="2"/>
    <n v="16"/>
    <n v="3987"/>
    <n v="63792"/>
  </r>
  <r>
    <n v="80"/>
    <x v="3"/>
    <x v="1"/>
    <x v="3"/>
    <x v="2"/>
    <n v="10"/>
    <n v="2346"/>
    <n v="23460"/>
  </r>
  <r>
    <n v="81"/>
    <x v="4"/>
    <x v="1"/>
    <x v="4"/>
    <x v="2"/>
    <n v="8"/>
    <n v="4953"/>
    <n v="39624"/>
  </r>
  <r>
    <n v="82"/>
    <x v="5"/>
    <x v="3"/>
    <x v="0"/>
    <x v="2"/>
    <n v="18"/>
    <n v="4088"/>
    <n v="73584"/>
  </r>
  <r>
    <n v="83"/>
    <x v="6"/>
    <x v="4"/>
    <x v="1"/>
    <x v="2"/>
    <n v="15"/>
    <n v="2531"/>
    <n v="37965"/>
  </r>
  <r>
    <n v="84"/>
    <x v="7"/>
    <x v="0"/>
    <x v="2"/>
    <x v="2"/>
    <n v="13"/>
    <n v="4716"/>
    <n v="61308"/>
  </r>
  <r>
    <n v="85"/>
    <x v="8"/>
    <x v="1"/>
    <x v="3"/>
    <x v="2"/>
    <n v="11"/>
    <n v="2806"/>
    <n v="30866"/>
  </r>
  <r>
    <n v="86"/>
    <x v="9"/>
    <x v="1"/>
    <x v="4"/>
    <x v="2"/>
    <n v="5"/>
    <n v="3350"/>
    <n v="16750"/>
  </r>
  <r>
    <n v="87"/>
    <x v="5"/>
    <x v="3"/>
    <x v="0"/>
    <x v="2"/>
    <n v="18"/>
    <n v="4088"/>
    <n v="73584"/>
  </r>
  <r>
    <n v="88"/>
    <x v="6"/>
    <x v="4"/>
    <x v="1"/>
    <x v="2"/>
    <n v="15"/>
    <n v="2531"/>
    <n v="37965"/>
  </r>
  <r>
    <n v="89"/>
    <x v="7"/>
    <x v="0"/>
    <x v="2"/>
    <x v="2"/>
    <n v="13"/>
    <n v="4716"/>
    <n v="61308"/>
  </r>
  <r>
    <n v="90"/>
    <x v="8"/>
    <x v="1"/>
    <x v="3"/>
    <x v="2"/>
    <n v="11"/>
    <n v="2806"/>
    <n v="30866"/>
  </r>
  <r>
    <n v="91"/>
    <x v="9"/>
    <x v="1"/>
    <x v="4"/>
    <x v="2"/>
    <n v="5"/>
    <n v="3350"/>
    <n v="16750"/>
  </r>
  <r>
    <n v="92"/>
    <x v="0"/>
    <x v="5"/>
    <x v="0"/>
    <x v="3"/>
    <n v="5"/>
    <n v="3270"/>
    <n v="16350"/>
  </r>
  <r>
    <n v="93"/>
    <x v="1"/>
    <x v="2"/>
    <x v="1"/>
    <x v="3"/>
    <n v="17"/>
    <n v="4245"/>
    <n v="72165"/>
  </r>
  <r>
    <n v="94"/>
    <x v="2"/>
    <x v="5"/>
    <x v="2"/>
    <x v="3"/>
    <n v="5"/>
    <n v="4864"/>
    <n v="24320"/>
  </r>
  <r>
    <n v="95"/>
    <x v="3"/>
    <x v="5"/>
    <x v="3"/>
    <x v="3"/>
    <n v="6"/>
    <n v="2381"/>
    <n v="14286"/>
  </r>
  <r>
    <n v="96"/>
    <x v="4"/>
    <x v="3"/>
    <x v="4"/>
    <x v="3"/>
    <n v="10"/>
    <n v="3503"/>
    <n v="35030"/>
  </r>
  <r>
    <n v="97"/>
    <x v="5"/>
    <x v="5"/>
    <x v="0"/>
    <x v="3"/>
    <n v="5"/>
    <n v="3176"/>
    <n v="15880"/>
  </r>
  <r>
    <n v="98"/>
    <x v="6"/>
    <x v="2"/>
    <x v="1"/>
    <x v="3"/>
    <n v="12"/>
    <n v="4192"/>
    <n v="50304"/>
  </r>
  <r>
    <n v="99"/>
    <x v="7"/>
    <x v="5"/>
    <x v="2"/>
    <x v="3"/>
    <n v="2"/>
    <n v="4793"/>
    <n v="9586"/>
  </r>
  <r>
    <n v="100"/>
    <x v="8"/>
    <x v="5"/>
    <x v="3"/>
    <x v="3"/>
    <n v="5"/>
    <n v="2204"/>
    <n v="11020"/>
  </r>
  <r>
    <n v="101"/>
    <x v="9"/>
    <x v="3"/>
    <x v="4"/>
    <x v="3"/>
    <n v="18"/>
    <n v="4183"/>
    <n v="75294"/>
  </r>
  <r>
    <n v="102"/>
    <x v="4"/>
    <x v="3"/>
    <x v="4"/>
    <x v="3"/>
    <n v="10"/>
    <n v="3503"/>
    <n v="35030"/>
  </r>
  <r>
    <n v="103"/>
    <x v="5"/>
    <x v="5"/>
    <x v="0"/>
    <x v="3"/>
    <n v="5"/>
    <n v="3176"/>
    <n v="15880"/>
  </r>
  <r>
    <n v="104"/>
    <x v="6"/>
    <x v="2"/>
    <x v="1"/>
    <x v="3"/>
    <n v="12"/>
    <n v="4192"/>
    <n v="50304"/>
  </r>
  <r>
    <n v="105"/>
    <x v="7"/>
    <x v="5"/>
    <x v="2"/>
    <x v="3"/>
    <n v="2"/>
    <n v="4793"/>
    <n v="9586"/>
  </r>
  <r>
    <n v="106"/>
    <x v="8"/>
    <x v="5"/>
    <x v="3"/>
    <x v="3"/>
    <n v="5"/>
    <n v="2204"/>
    <n v="11020"/>
  </r>
  <r>
    <n v="107"/>
    <x v="9"/>
    <x v="3"/>
    <x v="4"/>
    <x v="3"/>
    <n v="18"/>
    <n v="4183"/>
    <n v="7529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8F743FD-1483-456B-B3B2-41F49B3D892C}" name="PivotTable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A3:L11" firstHeaderRow="1" firstDataRow="2" firstDataCol="1"/>
  <pivotFields count="8">
    <pivotField showAll="0"/>
    <pivotField axis="axisCol" numFmtId="164" showAll="0">
      <items count="11">
        <item x="0"/>
        <item x="1"/>
        <item x="2"/>
        <item x="3"/>
        <item x="4"/>
        <item x="5"/>
        <item x="6"/>
        <item x="7"/>
        <item x="8"/>
        <item x="9"/>
        <item t="default"/>
      </items>
    </pivotField>
    <pivotField axis="axisRow" showAll="0">
      <items count="7">
        <item x="2"/>
        <item x="4"/>
        <item x="5"/>
        <item x="0"/>
        <item x="3"/>
        <item x="1"/>
        <item t="default"/>
      </items>
    </pivotField>
    <pivotField showAll="0">
      <items count="6">
        <item x="1"/>
        <item x="0"/>
        <item x="4"/>
        <item x="3"/>
        <item x="2"/>
        <item t="default"/>
      </items>
    </pivotField>
    <pivotField showAll="0">
      <items count="5">
        <item x="0"/>
        <item x="3"/>
        <item x="2"/>
        <item x="1"/>
        <item t="default"/>
      </items>
    </pivotField>
    <pivotField showAll="0"/>
    <pivotField showAll="0"/>
    <pivotField dataField="1" showAll="0"/>
  </pivotFields>
  <rowFields count="1">
    <field x="2"/>
  </rowFields>
  <rowItems count="7">
    <i>
      <x/>
    </i>
    <i>
      <x v="1"/>
    </i>
    <i>
      <x v="2"/>
    </i>
    <i>
      <x v="3"/>
    </i>
    <i>
      <x v="4"/>
    </i>
    <i>
      <x v="5"/>
    </i>
    <i t="grand">
      <x/>
    </i>
  </rowItems>
  <colFields count="1">
    <field x="1"/>
  </colFields>
  <colItems count="11">
    <i>
      <x/>
    </i>
    <i>
      <x v="1"/>
    </i>
    <i>
      <x v="2"/>
    </i>
    <i>
      <x v="3"/>
    </i>
    <i>
      <x v="4"/>
    </i>
    <i>
      <x v="5"/>
    </i>
    <i>
      <x v="6"/>
    </i>
    <i>
      <x v="7"/>
    </i>
    <i>
      <x v="8"/>
    </i>
    <i>
      <x v="9"/>
    </i>
    <i t="grand">
      <x/>
    </i>
  </colItems>
  <dataFields count="1">
    <dataField name="Sum of Total" fld="7" baseField="0" baseItem="0"/>
  </dataFields>
  <chartFormats count="33">
    <chartFormat chart="0" format="0" series="1">
      <pivotArea type="data" outline="0" fieldPosition="0">
        <references count="1">
          <reference field="4294967294" count="1" selected="0">
            <x v="0"/>
          </reference>
        </references>
      </pivotArea>
    </chartFormat>
    <chartFormat chart="1" format="5" series="1">
      <pivotArea type="data" outline="0" fieldPosition="0">
        <references count="1">
          <reference field="4294967294" count="1" selected="0">
            <x v="0"/>
          </reference>
        </references>
      </pivotArea>
    </chartFormat>
    <chartFormat chart="2" format="10" series="1">
      <pivotArea type="data" outline="0" fieldPosition="0">
        <references count="1">
          <reference field="4294967294" count="1" selected="0">
            <x v="0"/>
          </reference>
        </references>
      </pivotArea>
    </chartFormat>
    <chartFormat chart="3" format="15" series="1">
      <pivotArea type="data" outline="0" fieldPosition="0">
        <references count="1">
          <reference field="4294967294" count="1" selected="0">
            <x v="0"/>
          </reference>
        </references>
      </pivotArea>
    </chartFormat>
    <chartFormat chart="3" format="20" series="1">
      <pivotArea type="data" outline="0" fieldPosition="0">
        <references count="2">
          <reference field="4294967294" count="1" selected="0">
            <x v="0"/>
          </reference>
          <reference field="1" count="1" selected="0">
            <x v="1"/>
          </reference>
        </references>
      </pivotArea>
    </chartFormat>
    <chartFormat chart="3" format="21" series="1">
      <pivotArea type="data" outline="0" fieldPosition="0">
        <references count="2">
          <reference field="4294967294" count="1" selected="0">
            <x v="0"/>
          </reference>
          <reference field="1" count="1" selected="0">
            <x v="2"/>
          </reference>
        </references>
      </pivotArea>
    </chartFormat>
    <chartFormat chart="3" format="22" series="1">
      <pivotArea type="data" outline="0" fieldPosition="0">
        <references count="2">
          <reference field="4294967294" count="1" selected="0">
            <x v="0"/>
          </reference>
          <reference field="1" count="1" selected="0">
            <x v="3"/>
          </reference>
        </references>
      </pivotArea>
    </chartFormat>
    <chartFormat chart="3" format="23" series="1">
      <pivotArea type="data" outline="0" fieldPosition="0">
        <references count="2">
          <reference field="4294967294" count="1" selected="0">
            <x v="0"/>
          </reference>
          <reference field="1" count="1" selected="0">
            <x v="4"/>
          </reference>
        </references>
      </pivotArea>
    </chartFormat>
    <chartFormat chart="3" format="24" series="1">
      <pivotArea type="data" outline="0" fieldPosition="0">
        <references count="2">
          <reference field="4294967294" count="1" selected="0">
            <x v="0"/>
          </reference>
          <reference field="1" count="1" selected="0">
            <x v="5"/>
          </reference>
        </references>
      </pivotArea>
    </chartFormat>
    <chartFormat chart="3" format="25" series="1">
      <pivotArea type="data" outline="0" fieldPosition="0">
        <references count="2">
          <reference field="4294967294" count="1" selected="0">
            <x v="0"/>
          </reference>
          <reference field="1" count="1" selected="0">
            <x v="6"/>
          </reference>
        </references>
      </pivotArea>
    </chartFormat>
    <chartFormat chart="3" format="26" series="1">
      <pivotArea type="data" outline="0" fieldPosition="0">
        <references count="2">
          <reference field="4294967294" count="1" selected="0">
            <x v="0"/>
          </reference>
          <reference field="1" count="1" selected="0">
            <x v="7"/>
          </reference>
        </references>
      </pivotArea>
    </chartFormat>
    <chartFormat chart="3" format="27" series="1">
      <pivotArea type="data" outline="0" fieldPosition="0">
        <references count="2">
          <reference field="4294967294" count="1" selected="0">
            <x v="0"/>
          </reference>
          <reference field="1" count="1" selected="0">
            <x v="8"/>
          </reference>
        </references>
      </pivotArea>
    </chartFormat>
    <chartFormat chart="3" format="28" series="1">
      <pivotArea type="data" outline="0" fieldPosition="0">
        <references count="2">
          <reference field="4294967294" count="1" selected="0">
            <x v="0"/>
          </reference>
          <reference field="1" count="1" selected="0">
            <x v="9"/>
          </reference>
        </references>
      </pivotArea>
    </chartFormat>
    <chartFormat chart="4" format="29" series="1">
      <pivotArea type="data" outline="0" fieldPosition="0">
        <references count="2">
          <reference field="4294967294" count="1" selected="0">
            <x v="0"/>
          </reference>
          <reference field="1" count="1" selected="0">
            <x v="0"/>
          </reference>
        </references>
      </pivotArea>
    </chartFormat>
    <chartFormat chart="4" format="30" series="1">
      <pivotArea type="data" outline="0" fieldPosition="0">
        <references count="2">
          <reference field="4294967294" count="1" selected="0">
            <x v="0"/>
          </reference>
          <reference field="1" count="1" selected="0">
            <x v="1"/>
          </reference>
        </references>
      </pivotArea>
    </chartFormat>
    <chartFormat chart="4" format="31" series="1">
      <pivotArea type="data" outline="0" fieldPosition="0">
        <references count="2">
          <reference field="4294967294" count="1" selected="0">
            <x v="0"/>
          </reference>
          <reference field="1" count="1" selected="0">
            <x v="2"/>
          </reference>
        </references>
      </pivotArea>
    </chartFormat>
    <chartFormat chart="4" format="32" series="1">
      <pivotArea type="data" outline="0" fieldPosition="0">
        <references count="2">
          <reference field="4294967294" count="1" selected="0">
            <x v="0"/>
          </reference>
          <reference field="1" count="1" selected="0">
            <x v="3"/>
          </reference>
        </references>
      </pivotArea>
    </chartFormat>
    <chartFormat chart="4" format="33" series="1">
      <pivotArea type="data" outline="0" fieldPosition="0">
        <references count="2">
          <reference field="4294967294" count="1" selected="0">
            <x v="0"/>
          </reference>
          <reference field="1" count="1" selected="0">
            <x v="4"/>
          </reference>
        </references>
      </pivotArea>
    </chartFormat>
    <chartFormat chart="4" format="34" series="1">
      <pivotArea type="data" outline="0" fieldPosition="0">
        <references count="2">
          <reference field="4294967294" count="1" selected="0">
            <x v="0"/>
          </reference>
          <reference field="1" count="1" selected="0">
            <x v="5"/>
          </reference>
        </references>
      </pivotArea>
    </chartFormat>
    <chartFormat chart="4" format="35" series="1">
      <pivotArea type="data" outline="0" fieldPosition="0">
        <references count="2">
          <reference field="4294967294" count="1" selected="0">
            <x v="0"/>
          </reference>
          <reference field="1" count="1" selected="0">
            <x v="6"/>
          </reference>
        </references>
      </pivotArea>
    </chartFormat>
    <chartFormat chart="4" format="36" series="1">
      <pivotArea type="data" outline="0" fieldPosition="0">
        <references count="2">
          <reference field="4294967294" count="1" selected="0">
            <x v="0"/>
          </reference>
          <reference field="1" count="1" selected="0">
            <x v="7"/>
          </reference>
        </references>
      </pivotArea>
    </chartFormat>
    <chartFormat chart="4" format="37" series="1">
      <pivotArea type="data" outline="0" fieldPosition="0">
        <references count="2">
          <reference field="4294967294" count="1" selected="0">
            <x v="0"/>
          </reference>
          <reference field="1" count="1" selected="0">
            <x v="8"/>
          </reference>
        </references>
      </pivotArea>
    </chartFormat>
    <chartFormat chart="4" format="38" series="1">
      <pivotArea type="data" outline="0" fieldPosition="0">
        <references count="2">
          <reference field="4294967294" count="1" selected="0">
            <x v="0"/>
          </reference>
          <reference field="1" count="1" selected="0">
            <x v="9"/>
          </reference>
        </references>
      </pivotArea>
    </chartFormat>
    <chartFormat chart="6" format="39" series="1">
      <pivotArea type="data" outline="0" fieldPosition="0">
        <references count="2">
          <reference field="4294967294" count="1" selected="0">
            <x v="0"/>
          </reference>
          <reference field="1" count="1" selected="0">
            <x v="0"/>
          </reference>
        </references>
      </pivotArea>
    </chartFormat>
    <chartFormat chart="6" format="40" series="1">
      <pivotArea type="data" outline="0" fieldPosition="0">
        <references count="2">
          <reference field="4294967294" count="1" selected="0">
            <x v="0"/>
          </reference>
          <reference field="1" count="1" selected="0">
            <x v="1"/>
          </reference>
        </references>
      </pivotArea>
    </chartFormat>
    <chartFormat chart="6" format="41" series="1">
      <pivotArea type="data" outline="0" fieldPosition="0">
        <references count="2">
          <reference field="4294967294" count="1" selected="0">
            <x v="0"/>
          </reference>
          <reference field="1" count="1" selected="0">
            <x v="2"/>
          </reference>
        </references>
      </pivotArea>
    </chartFormat>
    <chartFormat chart="6" format="42" series="1">
      <pivotArea type="data" outline="0" fieldPosition="0">
        <references count="2">
          <reference field="4294967294" count="1" selected="0">
            <x v="0"/>
          </reference>
          <reference field="1" count="1" selected="0">
            <x v="3"/>
          </reference>
        </references>
      </pivotArea>
    </chartFormat>
    <chartFormat chart="6" format="43" series="1">
      <pivotArea type="data" outline="0" fieldPosition="0">
        <references count="2">
          <reference field="4294967294" count="1" selected="0">
            <x v="0"/>
          </reference>
          <reference field="1" count="1" selected="0">
            <x v="4"/>
          </reference>
        </references>
      </pivotArea>
    </chartFormat>
    <chartFormat chart="6" format="44" series="1">
      <pivotArea type="data" outline="0" fieldPosition="0">
        <references count="2">
          <reference field="4294967294" count="1" selected="0">
            <x v="0"/>
          </reference>
          <reference field="1" count="1" selected="0">
            <x v="5"/>
          </reference>
        </references>
      </pivotArea>
    </chartFormat>
    <chartFormat chart="6" format="45" series="1">
      <pivotArea type="data" outline="0" fieldPosition="0">
        <references count="2">
          <reference field="4294967294" count="1" selected="0">
            <x v="0"/>
          </reference>
          <reference field="1" count="1" selected="0">
            <x v="6"/>
          </reference>
        </references>
      </pivotArea>
    </chartFormat>
    <chartFormat chart="6" format="46" series="1">
      <pivotArea type="data" outline="0" fieldPosition="0">
        <references count="2">
          <reference field="4294967294" count="1" selected="0">
            <x v="0"/>
          </reference>
          <reference field="1" count="1" selected="0">
            <x v="7"/>
          </reference>
        </references>
      </pivotArea>
    </chartFormat>
    <chartFormat chart="6" format="47" series="1">
      <pivotArea type="data" outline="0" fieldPosition="0">
        <references count="2">
          <reference field="4294967294" count="1" selected="0">
            <x v="0"/>
          </reference>
          <reference field="1" count="1" selected="0">
            <x v="8"/>
          </reference>
        </references>
      </pivotArea>
    </chartFormat>
    <chartFormat chart="6" format="48" series="1">
      <pivotArea type="data" outline="0" fieldPosition="0">
        <references count="2">
          <reference field="4294967294" count="1" selected="0">
            <x v="0"/>
          </reference>
          <reference field="1"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2E8D699-BDFA-4158-8202-B793931C8D41}" name="PivotTable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location ref="A3:H9" firstHeaderRow="1" firstDataRow="2" firstDataCol="1"/>
  <pivotFields count="8">
    <pivotField showAll="0"/>
    <pivotField numFmtId="164" showAll="0">
      <items count="11">
        <item x="0"/>
        <item x="1"/>
        <item x="2"/>
        <item x="3"/>
        <item x="4"/>
        <item x="5"/>
        <item x="6"/>
        <item x="7"/>
        <item x="8"/>
        <item x="9"/>
        <item t="default"/>
      </items>
    </pivotField>
    <pivotField axis="axisCol" showAll="0">
      <items count="7">
        <item x="2"/>
        <item x="4"/>
        <item x="5"/>
        <item x="0"/>
        <item x="3"/>
        <item x="1"/>
        <item t="default"/>
      </items>
    </pivotField>
    <pivotField showAll="0">
      <items count="6">
        <item x="1"/>
        <item x="0"/>
        <item x="4"/>
        <item x="3"/>
        <item x="2"/>
        <item t="default"/>
      </items>
    </pivotField>
    <pivotField axis="axisRow" showAll="0">
      <items count="5">
        <item x="0"/>
        <item x="3"/>
        <item x="2"/>
        <item x="1"/>
        <item t="default"/>
      </items>
    </pivotField>
    <pivotField dataField="1" showAll="0"/>
    <pivotField showAll="0"/>
    <pivotField showAll="0"/>
  </pivotFields>
  <rowFields count="1">
    <field x="4"/>
  </rowFields>
  <rowItems count="5">
    <i>
      <x/>
    </i>
    <i>
      <x v="1"/>
    </i>
    <i>
      <x v="2"/>
    </i>
    <i>
      <x v="3"/>
    </i>
    <i t="grand">
      <x/>
    </i>
  </rowItems>
  <colFields count="1">
    <field x="2"/>
  </colFields>
  <colItems count="7">
    <i>
      <x/>
    </i>
    <i>
      <x v="1"/>
    </i>
    <i>
      <x v="2"/>
    </i>
    <i>
      <x v="3"/>
    </i>
    <i>
      <x v="4"/>
    </i>
    <i>
      <x v="5"/>
    </i>
    <i t="grand">
      <x/>
    </i>
  </colItems>
  <dataFields count="1">
    <dataField name="Sum of Qty" fld="5" baseField="0" baseItem="0"/>
  </dataFields>
  <chartFormats count="12">
    <chartFormat chart="2" format="15" series="1">
      <pivotArea type="data" outline="0" fieldPosition="0">
        <references count="1">
          <reference field="4294967294" count="1" selected="0">
            <x v="0"/>
          </reference>
        </references>
      </pivotArea>
    </chartFormat>
    <chartFormat chart="2" format="16" series="1">
      <pivotArea type="data" outline="0" fieldPosition="0">
        <references count="2">
          <reference field="4294967294" count="1" selected="0">
            <x v="0"/>
          </reference>
          <reference field="2" count="1" selected="0">
            <x v="1"/>
          </reference>
        </references>
      </pivotArea>
    </chartFormat>
    <chartFormat chart="2" format="17" series="1">
      <pivotArea type="data" outline="0" fieldPosition="0">
        <references count="2">
          <reference field="4294967294" count="1" selected="0">
            <x v="0"/>
          </reference>
          <reference field="2" count="1" selected="0">
            <x v="2"/>
          </reference>
        </references>
      </pivotArea>
    </chartFormat>
    <chartFormat chart="2" format="18" series="1">
      <pivotArea type="data" outline="0" fieldPosition="0">
        <references count="2">
          <reference field="4294967294" count="1" selected="0">
            <x v="0"/>
          </reference>
          <reference field="2" count="1" selected="0">
            <x v="3"/>
          </reference>
        </references>
      </pivotArea>
    </chartFormat>
    <chartFormat chart="2" format="19" series="1">
      <pivotArea type="data" outline="0" fieldPosition="0">
        <references count="2">
          <reference field="4294967294" count="1" selected="0">
            <x v="0"/>
          </reference>
          <reference field="2" count="1" selected="0">
            <x v="4"/>
          </reference>
        </references>
      </pivotArea>
    </chartFormat>
    <chartFormat chart="2" format="20" series="1">
      <pivotArea type="data" outline="0" fieldPosition="0">
        <references count="2">
          <reference field="4294967294" count="1" selected="0">
            <x v="0"/>
          </reference>
          <reference field="2" count="1" selected="0">
            <x v="5"/>
          </reference>
        </references>
      </pivotArea>
    </chartFormat>
    <chartFormat chart="5" format="27" series="1">
      <pivotArea type="data" outline="0" fieldPosition="0">
        <references count="2">
          <reference field="4294967294" count="1" selected="0">
            <x v="0"/>
          </reference>
          <reference field="2" count="1" selected="0">
            <x v="0"/>
          </reference>
        </references>
      </pivotArea>
    </chartFormat>
    <chartFormat chart="5" format="28" series="1">
      <pivotArea type="data" outline="0" fieldPosition="0">
        <references count="2">
          <reference field="4294967294" count="1" selected="0">
            <x v="0"/>
          </reference>
          <reference field="2" count="1" selected="0">
            <x v="1"/>
          </reference>
        </references>
      </pivotArea>
    </chartFormat>
    <chartFormat chart="5" format="29" series="1">
      <pivotArea type="data" outline="0" fieldPosition="0">
        <references count="2">
          <reference field="4294967294" count="1" selected="0">
            <x v="0"/>
          </reference>
          <reference field="2" count="1" selected="0">
            <x v="2"/>
          </reference>
        </references>
      </pivotArea>
    </chartFormat>
    <chartFormat chart="5" format="30" series="1">
      <pivotArea type="data" outline="0" fieldPosition="0">
        <references count="2">
          <reference field="4294967294" count="1" selected="0">
            <x v="0"/>
          </reference>
          <reference field="2" count="1" selected="0">
            <x v="3"/>
          </reference>
        </references>
      </pivotArea>
    </chartFormat>
    <chartFormat chart="5" format="31" series="1">
      <pivotArea type="data" outline="0" fieldPosition="0">
        <references count="2">
          <reference field="4294967294" count="1" selected="0">
            <x v="0"/>
          </reference>
          <reference field="2" count="1" selected="0">
            <x v="4"/>
          </reference>
        </references>
      </pivotArea>
    </chartFormat>
    <chartFormat chart="5" format="32" series="1">
      <pivotArea type="data" outline="0" fieldPosition="0">
        <references count="2">
          <reference field="4294967294" count="1" selected="0">
            <x v="0"/>
          </reference>
          <reference field="2"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0DF743B-7626-4523-B4E5-9C05264C3D99}" name="PivotTable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A3:H5" firstHeaderRow="1" firstDataRow="2" firstDataCol="1"/>
  <pivotFields count="8">
    <pivotField showAll="0"/>
    <pivotField numFmtId="164" showAll="0">
      <items count="11">
        <item x="0"/>
        <item x="1"/>
        <item x="2"/>
        <item x="3"/>
        <item x="4"/>
        <item x="5"/>
        <item x="6"/>
        <item x="7"/>
        <item x="8"/>
        <item x="9"/>
        <item t="default"/>
      </items>
    </pivotField>
    <pivotField axis="axisCol" showAll="0">
      <items count="7">
        <item x="2"/>
        <item x="4"/>
        <item x="5"/>
        <item x="0"/>
        <item x="3"/>
        <item x="1"/>
        <item t="default"/>
      </items>
    </pivotField>
    <pivotField showAll="0">
      <items count="6">
        <item x="1"/>
        <item x="0"/>
        <item x="4"/>
        <item x="3"/>
        <item x="2"/>
        <item t="default"/>
      </items>
    </pivotField>
    <pivotField showAll="0">
      <items count="5">
        <item x="0"/>
        <item x="3"/>
        <item x="2"/>
        <item x="1"/>
        <item t="default"/>
      </items>
    </pivotField>
    <pivotField showAll="0"/>
    <pivotField showAll="0"/>
    <pivotField dataField="1" showAll="0"/>
  </pivotFields>
  <rowItems count="1">
    <i/>
  </rowItems>
  <colFields count="1">
    <field x="2"/>
  </colFields>
  <colItems count="7">
    <i>
      <x/>
    </i>
    <i>
      <x v="1"/>
    </i>
    <i>
      <x v="2"/>
    </i>
    <i>
      <x v="3"/>
    </i>
    <i>
      <x v="4"/>
    </i>
    <i>
      <x v="5"/>
    </i>
    <i t="grand">
      <x/>
    </i>
  </colItems>
  <dataFields count="1">
    <dataField name="Sum of Total" fld="7" baseField="0" baseItem="0"/>
  </dataFields>
  <chartFormats count="19">
    <chartFormat chart="0" format="0" series="1">
      <pivotArea type="data" outline="0" fieldPosition="0">
        <references count="1">
          <reference field="4294967294" count="1" selected="0">
            <x v="0"/>
          </reference>
        </references>
      </pivotArea>
    </chartFormat>
    <chartFormat chart="1" format="5" series="1">
      <pivotArea type="data" outline="0" fieldPosition="0">
        <references count="1">
          <reference field="4294967294" count="1" selected="0">
            <x v="0"/>
          </reference>
        </references>
      </pivotArea>
    </chartFormat>
    <chartFormat chart="1" format="10" series="1">
      <pivotArea type="data" outline="0" fieldPosition="0">
        <references count="2">
          <reference field="4294967294" count="1" selected="0">
            <x v="0"/>
          </reference>
          <reference field="2" count="1" selected="0">
            <x v="1"/>
          </reference>
        </references>
      </pivotArea>
    </chartFormat>
    <chartFormat chart="1" format="11" series="1">
      <pivotArea type="data" outline="0" fieldPosition="0">
        <references count="2">
          <reference field="4294967294" count="1" selected="0">
            <x v="0"/>
          </reference>
          <reference field="2" count="1" selected="0">
            <x v="2"/>
          </reference>
        </references>
      </pivotArea>
    </chartFormat>
    <chartFormat chart="1" format="12" series="1">
      <pivotArea type="data" outline="0" fieldPosition="0">
        <references count="2">
          <reference field="4294967294" count="1" selected="0">
            <x v="0"/>
          </reference>
          <reference field="2" count="1" selected="0">
            <x v="3"/>
          </reference>
        </references>
      </pivotArea>
    </chartFormat>
    <chartFormat chart="1" format="13" series="1">
      <pivotArea type="data" outline="0" fieldPosition="0">
        <references count="2">
          <reference field="4294967294" count="1" selected="0">
            <x v="0"/>
          </reference>
          <reference field="2" count="1" selected="0">
            <x v="4"/>
          </reference>
        </references>
      </pivotArea>
    </chartFormat>
    <chartFormat chart="1" format="14" series="1">
      <pivotArea type="data" outline="0" fieldPosition="0">
        <references count="2">
          <reference field="4294967294" count="1" selected="0">
            <x v="0"/>
          </reference>
          <reference field="2" count="1" selected="0">
            <x v="5"/>
          </reference>
        </references>
      </pivotArea>
    </chartFormat>
    <chartFormat chart="4" format="27" series="1">
      <pivotArea type="data" outline="0" fieldPosition="0">
        <references count="2">
          <reference field="4294967294" count="1" selected="0">
            <x v="0"/>
          </reference>
          <reference field="2" count="1" selected="0">
            <x v="0"/>
          </reference>
        </references>
      </pivotArea>
    </chartFormat>
    <chartFormat chart="4" format="28">
      <pivotArea type="data" outline="0" fieldPosition="0">
        <references count="2">
          <reference field="4294967294" count="1" selected="0">
            <x v="0"/>
          </reference>
          <reference field="2" count="1" selected="0">
            <x v="0"/>
          </reference>
        </references>
      </pivotArea>
    </chartFormat>
    <chartFormat chart="4" format="29" series="1">
      <pivotArea type="data" outline="0" fieldPosition="0">
        <references count="2">
          <reference field="4294967294" count="1" selected="0">
            <x v="0"/>
          </reference>
          <reference field="2" count="1" selected="0">
            <x v="1"/>
          </reference>
        </references>
      </pivotArea>
    </chartFormat>
    <chartFormat chart="4" format="30">
      <pivotArea type="data" outline="0" fieldPosition="0">
        <references count="2">
          <reference field="4294967294" count="1" selected="0">
            <x v="0"/>
          </reference>
          <reference field="2" count="1" selected="0">
            <x v="1"/>
          </reference>
        </references>
      </pivotArea>
    </chartFormat>
    <chartFormat chart="4" format="31" series="1">
      <pivotArea type="data" outline="0" fieldPosition="0">
        <references count="2">
          <reference field="4294967294" count="1" selected="0">
            <x v="0"/>
          </reference>
          <reference field="2" count="1" selected="0">
            <x v="2"/>
          </reference>
        </references>
      </pivotArea>
    </chartFormat>
    <chartFormat chart="4" format="32">
      <pivotArea type="data" outline="0" fieldPosition="0">
        <references count="2">
          <reference field="4294967294" count="1" selected="0">
            <x v="0"/>
          </reference>
          <reference field="2" count="1" selected="0">
            <x v="2"/>
          </reference>
        </references>
      </pivotArea>
    </chartFormat>
    <chartFormat chart="4" format="33" series="1">
      <pivotArea type="data" outline="0" fieldPosition="0">
        <references count="2">
          <reference field="4294967294" count="1" selected="0">
            <x v="0"/>
          </reference>
          <reference field="2" count="1" selected="0">
            <x v="3"/>
          </reference>
        </references>
      </pivotArea>
    </chartFormat>
    <chartFormat chart="4" format="34">
      <pivotArea type="data" outline="0" fieldPosition="0">
        <references count="2">
          <reference field="4294967294" count="1" selected="0">
            <x v="0"/>
          </reference>
          <reference field="2" count="1" selected="0">
            <x v="3"/>
          </reference>
        </references>
      </pivotArea>
    </chartFormat>
    <chartFormat chart="4" format="35" series="1">
      <pivotArea type="data" outline="0" fieldPosition="0">
        <references count="2">
          <reference field="4294967294" count="1" selected="0">
            <x v="0"/>
          </reference>
          <reference field="2" count="1" selected="0">
            <x v="4"/>
          </reference>
        </references>
      </pivotArea>
    </chartFormat>
    <chartFormat chart="4" format="36">
      <pivotArea type="data" outline="0" fieldPosition="0">
        <references count="2">
          <reference field="4294967294" count="1" selected="0">
            <x v="0"/>
          </reference>
          <reference field="2" count="1" selected="0">
            <x v="4"/>
          </reference>
        </references>
      </pivotArea>
    </chartFormat>
    <chartFormat chart="4" format="37" series="1">
      <pivotArea type="data" outline="0" fieldPosition="0">
        <references count="2">
          <reference field="4294967294" count="1" selected="0">
            <x v="0"/>
          </reference>
          <reference field="2" count="1" selected="0">
            <x v="5"/>
          </reference>
        </references>
      </pivotArea>
    </chartFormat>
    <chartFormat chart="4" format="38">
      <pivotArea type="data" outline="0" fieldPosition="0">
        <references count="2">
          <reference field="4294967294" count="1" selected="0">
            <x v="0"/>
          </reference>
          <reference field="2"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87163A3-2205-4A2F-AB35-A573414A0BFF}" name="PivotTable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3:B8" firstHeaderRow="1" firstDataRow="1" firstDataCol="1"/>
  <pivotFields count="8">
    <pivotField showAll="0"/>
    <pivotField numFmtId="164" showAll="0">
      <items count="11">
        <item x="0"/>
        <item x="1"/>
        <item x="2"/>
        <item x="3"/>
        <item x="4"/>
        <item x="5"/>
        <item x="6"/>
        <item x="7"/>
        <item x="8"/>
        <item x="9"/>
        <item t="default"/>
      </items>
    </pivotField>
    <pivotField showAll="0">
      <items count="7">
        <item x="2"/>
        <item x="4"/>
        <item x="5"/>
        <item x="0"/>
        <item x="3"/>
        <item x="1"/>
        <item t="default"/>
      </items>
    </pivotField>
    <pivotField showAll="0">
      <items count="6">
        <item x="1"/>
        <item x="0"/>
        <item x="4"/>
        <item x="3"/>
        <item x="2"/>
        <item t="default"/>
      </items>
    </pivotField>
    <pivotField axis="axisRow" showAll="0">
      <items count="5">
        <item x="0"/>
        <item x="3"/>
        <item x="2"/>
        <item x="1"/>
        <item t="default"/>
      </items>
    </pivotField>
    <pivotField showAll="0"/>
    <pivotField showAll="0"/>
    <pivotField dataField="1" showAll="0"/>
  </pivotFields>
  <rowFields count="1">
    <field x="4"/>
  </rowFields>
  <rowItems count="5">
    <i>
      <x/>
    </i>
    <i>
      <x v="1"/>
    </i>
    <i>
      <x v="2"/>
    </i>
    <i>
      <x v="3"/>
    </i>
    <i t="grand">
      <x/>
    </i>
  </rowItems>
  <colItems count="1">
    <i/>
  </colItems>
  <dataFields count="1">
    <dataField name="Sum of Total" fld="7" baseField="0" baseItem="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4" count="1" selected="0">
            <x v="0"/>
          </reference>
        </references>
      </pivotArea>
    </chartFormat>
    <chartFormat chart="0" format="2">
      <pivotArea type="data" outline="0" fieldPosition="0">
        <references count="2">
          <reference field="4294967294" count="1" selected="0">
            <x v="0"/>
          </reference>
          <reference field="4" count="1" selected="0">
            <x v="1"/>
          </reference>
        </references>
      </pivotArea>
    </chartFormat>
    <chartFormat chart="0" format="3">
      <pivotArea type="data" outline="0" fieldPosition="0">
        <references count="2">
          <reference field="4294967294" count="1" selected="0">
            <x v="0"/>
          </reference>
          <reference field="4" count="1" selected="0">
            <x v="2"/>
          </reference>
        </references>
      </pivotArea>
    </chartFormat>
    <chartFormat chart="0" format="4">
      <pivotArea type="data" outline="0" fieldPosition="0">
        <references count="2">
          <reference field="4294967294" count="1" selected="0">
            <x v="0"/>
          </reference>
          <reference field="4" count="1" selected="0">
            <x v="3"/>
          </reference>
        </references>
      </pivotArea>
    </chartFormat>
    <chartFormat chart="3" format="10" series="1">
      <pivotArea type="data" outline="0" fieldPosition="0">
        <references count="1">
          <reference field="4294967294" count="1" selected="0">
            <x v="0"/>
          </reference>
        </references>
      </pivotArea>
    </chartFormat>
    <chartFormat chart="3" format="11">
      <pivotArea type="data" outline="0" fieldPosition="0">
        <references count="2">
          <reference field="4294967294" count="1" selected="0">
            <x v="0"/>
          </reference>
          <reference field="4" count="1" selected="0">
            <x v="0"/>
          </reference>
        </references>
      </pivotArea>
    </chartFormat>
    <chartFormat chart="3" format="12">
      <pivotArea type="data" outline="0" fieldPosition="0">
        <references count="2">
          <reference field="4294967294" count="1" selected="0">
            <x v="0"/>
          </reference>
          <reference field="4" count="1" selected="0">
            <x v="1"/>
          </reference>
        </references>
      </pivotArea>
    </chartFormat>
    <chartFormat chart="3" format="13">
      <pivotArea type="data" outline="0" fieldPosition="0">
        <references count="2">
          <reference field="4294967294" count="1" selected="0">
            <x v="0"/>
          </reference>
          <reference field="4" count="1" selected="0">
            <x v="2"/>
          </reference>
        </references>
      </pivotArea>
    </chartFormat>
    <chartFormat chart="3" format="14">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8FD30DD5-4660-4047-9B73-C8B23AFA09F1}" sourceName="Date">
  <pivotTables>
    <pivotTable tabId="22" name="PivotTable1"/>
    <pivotTable tabId="21" name="PivotTable1"/>
    <pivotTable tabId="23" name="PivotTable1"/>
    <pivotTable tabId="24" name="PivotTable1"/>
  </pivotTables>
  <data>
    <tabular pivotCacheId="742595641">
      <items count="10">
        <i x="0" s="1"/>
        <i x="1" s="1"/>
        <i x="2" s="1"/>
        <i x="3" s="1"/>
        <i x="4" s="1"/>
        <i x="5" s="1"/>
        <i x="6" s="1"/>
        <i x="7" s="1"/>
        <i x="8" s="1"/>
        <i x="9"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1750F1A3-61F7-45B1-9396-2AD4D8BF2359}" sourceName="Product">
  <pivotTables>
    <pivotTable tabId="22" name="PivotTable1"/>
    <pivotTable tabId="21" name="PivotTable1"/>
    <pivotTable tabId="23" name="PivotTable1"/>
    <pivotTable tabId="24" name="PivotTable1"/>
  </pivotTables>
  <data>
    <tabular pivotCacheId="742595641">
      <items count="6">
        <i x="2" s="1"/>
        <i x="4" s="1"/>
        <i x="5" s="1"/>
        <i x="0" s="1"/>
        <i x="3"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 xr10:uid="{26CC7722-C206-464D-9C92-C0E7F022CBEE}" sourceName="Name">
  <pivotTables>
    <pivotTable tabId="22" name="PivotTable1"/>
    <pivotTable tabId="21" name="PivotTable1"/>
    <pivotTable tabId="23" name="PivotTable1"/>
    <pivotTable tabId="24" name="PivotTable1"/>
  </pivotTables>
  <data>
    <tabular pivotCacheId="742595641">
      <items count="5">
        <i x="1" s="1"/>
        <i x="0" s="1"/>
        <i x="4" s="1"/>
        <i x="3"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 xr10:uid="{BAE7BA3F-1632-4ADD-B664-307F51C35854}" sourceName="Area">
  <pivotTables>
    <pivotTable tabId="22" name="PivotTable1"/>
    <pivotTable tabId="21" name="PivotTable1"/>
    <pivotTable tabId="23" name="PivotTable1"/>
    <pivotTable tabId="24" name="PivotTable1"/>
  </pivotTables>
  <data>
    <tabular pivotCacheId="742595641">
      <items count="4">
        <i x="0" s="1"/>
        <i x="3"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9AF41A0A-7C78-4CD4-866C-0B4F7097689F}" cache="Slicer_Date" caption="Date" columnCount="3" style="SlicerStyleDark6" rowHeight="234950"/>
  <slicer name="Product" xr10:uid="{10B2426D-1763-42F4-9275-EB747504C41C}" cache="Slicer_Product" caption="Product" columnCount="3" style="SlicerStyleLight4" rowHeight="234950"/>
  <slicer name="Name" xr10:uid="{1E69F23B-8453-4CEA-ABBB-F0956F34D430}" cache="Slicer_Name" caption="Name" columnCount="3" style="SlicerStyleLight6" rowHeight="234950"/>
  <slicer name="Area" xr10:uid="{3204E230-66B9-4232-8343-6C54FE21EB79}" cache="Slicer_Area" caption="Area" columnCount="2" style="SlicerStyleLight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2702614-207C-4E5C-A66C-0D9968C23B9E}" name="Data" displayName="Data" ref="A2:H109" totalsRowShown="0">
  <autoFilter ref="A2:H109" xr:uid="{1359C4F1-615E-40A0-ADF4-404103B07039}"/>
  <tableColumns count="8">
    <tableColumn id="1" xr3:uid="{1562934B-C946-480C-8901-174164694F08}" name="Sr. No."/>
    <tableColumn id="2" xr3:uid="{E6D80643-A63D-40AD-9F44-E60A45DDA3EC}" name="Date" dataDxfId="0"/>
    <tableColumn id="3" xr3:uid="{ADB40B61-0D12-4D44-BFD7-A16491CD1258}" name="Product"/>
    <tableColumn id="4" xr3:uid="{7E6FE88E-5E89-4963-8366-80D74FF77B57}" name="Name"/>
    <tableColumn id="5" xr3:uid="{AF3C173C-72EA-4FF7-9EA9-327AED04E2FF}" name="Area"/>
    <tableColumn id="6" xr3:uid="{692E4A0B-9C0C-4CCC-A814-A877A2B3939C}" name="Qty"/>
    <tableColumn id="7" xr3:uid="{BC7F18DD-67CB-4209-B15F-F6900BEF23C7}" name="Cost"/>
    <tableColumn id="8" xr3:uid="{96D52FF1-8298-4E58-84F4-6F6A23EC7730}" name="Total">
      <calculatedColumnFormula>F3*G3</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tabSelected="1" zoomScale="89" zoomScaleNormal="89" workbookViewId="0">
      <selection activeCell="T15" sqref="T15"/>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B3D4A4-A937-4D52-8AB8-613D4BDC12CC}">
  <dimension ref="A3:L11"/>
  <sheetViews>
    <sheetView workbookViewId="0">
      <selection activeCell="O20" sqref="O20"/>
    </sheetView>
  </sheetViews>
  <sheetFormatPr defaultRowHeight="14.4" x14ac:dyDescent="0.3"/>
  <cols>
    <col min="1" max="1" width="12.5546875" bestFit="1" customWidth="1"/>
    <col min="2" max="2" width="15.5546875" bestFit="1" customWidth="1"/>
    <col min="3" max="10" width="10.109375" bestFit="1" customWidth="1"/>
    <col min="11" max="11" width="11.109375" bestFit="1" customWidth="1"/>
    <col min="12" max="12" width="10.77734375" bestFit="1" customWidth="1"/>
  </cols>
  <sheetData>
    <row r="3" spans="1:12" x14ac:dyDescent="0.3">
      <c r="A3" s="11" t="s">
        <v>42</v>
      </c>
      <c r="B3" s="11" t="s">
        <v>43</v>
      </c>
    </row>
    <row r="4" spans="1:12" x14ac:dyDescent="0.3">
      <c r="A4" s="11" t="s">
        <v>40</v>
      </c>
      <c r="B4" s="3">
        <v>40179</v>
      </c>
      <c r="C4" s="3">
        <v>40180</v>
      </c>
      <c r="D4" s="3">
        <v>40181</v>
      </c>
      <c r="E4" s="3">
        <v>40182</v>
      </c>
      <c r="F4" s="3">
        <v>40183</v>
      </c>
      <c r="G4" s="3">
        <v>40184</v>
      </c>
      <c r="H4" s="3">
        <v>40185</v>
      </c>
      <c r="I4" s="3">
        <v>40186</v>
      </c>
      <c r="J4" s="3">
        <v>40187</v>
      </c>
      <c r="K4" s="3">
        <v>40188</v>
      </c>
      <c r="L4" s="3" t="s">
        <v>41</v>
      </c>
    </row>
    <row r="5" spans="1:12" x14ac:dyDescent="0.3">
      <c r="A5" s="12" t="s">
        <v>12</v>
      </c>
      <c r="B5" s="13"/>
      <c r="C5" s="13">
        <v>144330</v>
      </c>
      <c r="D5" s="13">
        <v>53449</v>
      </c>
      <c r="E5" s="13">
        <v>58136</v>
      </c>
      <c r="F5" s="13"/>
      <c r="G5" s="13"/>
      <c r="H5" s="13">
        <v>201216</v>
      </c>
      <c r="I5" s="13">
        <v>79956</v>
      </c>
      <c r="J5" s="13">
        <v>192336</v>
      </c>
      <c r="K5" s="13"/>
      <c r="L5" s="13">
        <v>729423</v>
      </c>
    </row>
    <row r="6" spans="1:12" x14ac:dyDescent="0.3">
      <c r="A6" s="12" t="s">
        <v>14</v>
      </c>
      <c r="B6" s="13"/>
      <c r="C6" s="13">
        <v>137124</v>
      </c>
      <c r="D6" s="13"/>
      <c r="E6" s="13"/>
      <c r="F6" s="13">
        <v>66164</v>
      </c>
      <c r="G6" s="13"/>
      <c r="H6" s="13">
        <v>151860</v>
      </c>
      <c r="I6" s="13"/>
      <c r="J6" s="13"/>
      <c r="K6" s="13">
        <v>82404</v>
      </c>
      <c r="L6" s="13">
        <v>437552</v>
      </c>
    </row>
    <row r="7" spans="1:12" x14ac:dyDescent="0.3">
      <c r="A7" s="12" t="s">
        <v>13</v>
      </c>
      <c r="B7" s="13">
        <v>32700</v>
      </c>
      <c r="C7" s="13"/>
      <c r="D7" s="13">
        <v>48640</v>
      </c>
      <c r="E7" s="13">
        <v>28572</v>
      </c>
      <c r="F7" s="13">
        <v>91380</v>
      </c>
      <c r="G7" s="13">
        <v>63520</v>
      </c>
      <c r="H7" s="13"/>
      <c r="I7" s="13">
        <v>38344</v>
      </c>
      <c r="J7" s="13">
        <v>44080</v>
      </c>
      <c r="K7" s="13">
        <v>138360</v>
      </c>
      <c r="L7" s="13">
        <v>485596</v>
      </c>
    </row>
    <row r="8" spans="1:12" x14ac:dyDescent="0.3">
      <c r="A8" s="12" t="s">
        <v>10</v>
      </c>
      <c r="B8" s="13">
        <v>35120</v>
      </c>
      <c r="C8" s="13">
        <v>70772</v>
      </c>
      <c r="D8" s="13">
        <v>127584</v>
      </c>
      <c r="E8" s="13"/>
      <c r="F8" s="13"/>
      <c r="G8" s="13">
        <v>102080</v>
      </c>
      <c r="H8" s="13">
        <v>169380</v>
      </c>
      <c r="I8" s="13">
        <v>245232</v>
      </c>
      <c r="J8" s="13"/>
      <c r="K8" s="13"/>
      <c r="L8" s="13">
        <v>750168</v>
      </c>
    </row>
    <row r="9" spans="1:12" x14ac:dyDescent="0.3">
      <c r="A9" s="12" t="s">
        <v>11</v>
      </c>
      <c r="B9" s="13">
        <v>81140</v>
      </c>
      <c r="C9" s="13"/>
      <c r="D9" s="13">
        <v>104400</v>
      </c>
      <c r="E9" s="13">
        <v>32880</v>
      </c>
      <c r="F9" s="13">
        <v>140120</v>
      </c>
      <c r="G9" s="13">
        <v>294336</v>
      </c>
      <c r="H9" s="13"/>
      <c r="I9" s="13">
        <v>226992</v>
      </c>
      <c r="J9" s="13">
        <v>110572</v>
      </c>
      <c r="K9" s="13">
        <v>301176</v>
      </c>
      <c r="L9" s="13">
        <v>1291616</v>
      </c>
    </row>
    <row r="10" spans="1:12" x14ac:dyDescent="0.3">
      <c r="A10" s="12" t="s">
        <v>8</v>
      </c>
      <c r="B10" s="13">
        <v>91392</v>
      </c>
      <c r="C10" s="13">
        <v>63536</v>
      </c>
      <c r="D10" s="13"/>
      <c r="E10" s="13">
        <v>46920</v>
      </c>
      <c r="F10" s="13">
        <v>79248</v>
      </c>
      <c r="G10" s="13">
        <v>166408</v>
      </c>
      <c r="H10" s="13">
        <v>147520</v>
      </c>
      <c r="I10" s="13"/>
      <c r="J10" s="13">
        <v>123464</v>
      </c>
      <c r="K10" s="13">
        <v>67000</v>
      </c>
      <c r="L10" s="13">
        <v>785488</v>
      </c>
    </row>
    <row r="11" spans="1:12" x14ac:dyDescent="0.3">
      <c r="A11" s="12" t="s">
        <v>41</v>
      </c>
      <c r="B11" s="13">
        <v>240352</v>
      </c>
      <c r="C11" s="13">
        <v>415762</v>
      </c>
      <c r="D11" s="13">
        <v>334073</v>
      </c>
      <c r="E11" s="13">
        <v>166508</v>
      </c>
      <c r="F11" s="13">
        <v>376912</v>
      </c>
      <c r="G11" s="13">
        <v>626344</v>
      </c>
      <c r="H11" s="13">
        <v>669976</v>
      </c>
      <c r="I11" s="13">
        <v>590524</v>
      </c>
      <c r="J11" s="13">
        <v>470452</v>
      </c>
      <c r="K11" s="13">
        <v>588940</v>
      </c>
      <c r="L11" s="13">
        <v>4479843</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47D7C-FCEE-44EC-A1EC-B2F4FDB60D52}">
  <dimension ref="A3:H9"/>
  <sheetViews>
    <sheetView workbookViewId="0">
      <selection activeCell="F9" sqref="F9"/>
    </sheetView>
  </sheetViews>
  <sheetFormatPr defaultRowHeight="14.4" x14ac:dyDescent="0.3"/>
  <cols>
    <col min="1" max="1" width="12.5546875" bestFit="1" customWidth="1"/>
    <col min="2" max="2" width="15.5546875" bestFit="1" customWidth="1"/>
    <col min="3" max="3" width="8.77734375" bestFit="1" customWidth="1"/>
    <col min="4" max="5" width="6.88671875" bestFit="1" customWidth="1"/>
    <col min="6" max="6" width="5.5546875" bestFit="1" customWidth="1"/>
    <col min="7" max="7" width="4" bestFit="1" customWidth="1"/>
    <col min="8" max="8" width="10.77734375" bestFit="1" customWidth="1"/>
  </cols>
  <sheetData>
    <row r="3" spans="1:8" x14ac:dyDescent="0.3">
      <c r="A3" s="11" t="s">
        <v>44</v>
      </c>
      <c r="B3" s="11" t="s">
        <v>43</v>
      </c>
    </row>
    <row r="4" spans="1:8" x14ac:dyDescent="0.3">
      <c r="A4" s="11" t="s">
        <v>40</v>
      </c>
      <c r="B4" t="s">
        <v>12</v>
      </c>
      <c r="C4" t="s">
        <v>14</v>
      </c>
      <c r="D4" t="s">
        <v>13</v>
      </c>
      <c r="E4" t="s">
        <v>10</v>
      </c>
      <c r="F4" t="s">
        <v>11</v>
      </c>
      <c r="G4" t="s">
        <v>8</v>
      </c>
      <c r="H4" t="s">
        <v>41</v>
      </c>
    </row>
    <row r="5" spans="1:8" x14ac:dyDescent="0.3">
      <c r="A5" s="12" t="s">
        <v>9</v>
      </c>
      <c r="B5" s="13">
        <v>47</v>
      </c>
      <c r="C5" s="13">
        <v>45</v>
      </c>
      <c r="D5" s="13"/>
      <c r="E5" s="13">
        <v>38</v>
      </c>
      <c r="F5" s="13">
        <v>44</v>
      </c>
      <c r="G5" s="13">
        <v>48</v>
      </c>
      <c r="H5" s="13">
        <v>222</v>
      </c>
    </row>
    <row r="6" spans="1:8" x14ac:dyDescent="0.3">
      <c r="A6" s="12" t="s">
        <v>22</v>
      </c>
      <c r="B6" s="13">
        <v>82</v>
      </c>
      <c r="C6" s="13"/>
      <c r="D6" s="13">
        <v>80</v>
      </c>
      <c r="E6" s="13"/>
      <c r="F6" s="13">
        <v>112</v>
      </c>
      <c r="G6" s="13"/>
      <c r="H6" s="13">
        <v>274</v>
      </c>
    </row>
    <row r="7" spans="1:8" x14ac:dyDescent="0.3">
      <c r="A7" s="12" t="s">
        <v>21</v>
      </c>
      <c r="B7" s="13"/>
      <c r="C7" s="13">
        <v>96</v>
      </c>
      <c r="D7" s="13"/>
      <c r="E7" s="13">
        <v>84</v>
      </c>
      <c r="F7" s="13">
        <v>92</v>
      </c>
      <c r="G7" s="13">
        <v>100</v>
      </c>
      <c r="H7" s="13">
        <v>372</v>
      </c>
    </row>
    <row r="8" spans="1:8" x14ac:dyDescent="0.3">
      <c r="A8" s="12" t="s">
        <v>20</v>
      </c>
      <c r="B8" s="13">
        <v>74</v>
      </c>
      <c r="C8" s="13"/>
      <c r="D8" s="13">
        <v>60</v>
      </c>
      <c r="E8" s="13">
        <v>86</v>
      </c>
      <c r="F8" s="13">
        <v>84</v>
      </c>
      <c r="G8" s="13">
        <v>76</v>
      </c>
      <c r="H8" s="13">
        <v>380</v>
      </c>
    </row>
    <row r="9" spans="1:8" x14ac:dyDescent="0.3">
      <c r="A9" s="12" t="s">
        <v>41</v>
      </c>
      <c r="B9" s="13">
        <v>203</v>
      </c>
      <c r="C9" s="13">
        <v>141</v>
      </c>
      <c r="D9" s="13">
        <v>140</v>
      </c>
      <c r="E9" s="13">
        <v>208</v>
      </c>
      <c r="F9" s="13">
        <v>332</v>
      </c>
      <c r="G9" s="13">
        <v>224</v>
      </c>
      <c r="H9" s="13">
        <v>1248</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B2CBA0-94CA-4C7D-BF66-69336E7887AD}">
  <dimension ref="A3:H5"/>
  <sheetViews>
    <sheetView workbookViewId="0">
      <selection activeCell="F3" sqref="F3"/>
    </sheetView>
  </sheetViews>
  <sheetFormatPr defaultRowHeight="14.4" x14ac:dyDescent="0.3"/>
  <cols>
    <col min="1" max="1" width="11.6640625" bestFit="1" customWidth="1"/>
    <col min="2" max="2" width="15.5546875" bestFit="1" customWidth="1"/>
    <col min="3" max="3" width="8.77734375" bestFit="1" customWidth="1"/>
    <col min="4" max="5" width="7" bestFit="1" customWidth="1"/>
    <col min="6" max="6" width="8" bestFit="1" customWidth="1"/>
    <col min="7" max="7" width="7" bestFit="1" customWidth="1"/>
    <col min="8" max="8" width="10.77734375" bestFit="1" customWidth="1"/>
  </cols>
  <sheetData>
    <row r="3" spans="1:8" x14ac:dyDescent="0.3">
      <c r="B3" s="11" t="s">
        <v>43</v>
      </c>
    </row>
    <row r="4" spans="1:8" x14ac:dyDescent="0.3">
      <c r="B4" t="s">
        <v>12</v>
      </c>
      <c r="C4" t="s">
        <v>14</v>
      </c>
      <c r="D4" t="s">
        <v>13</v>
      </c>
      <c r="E4" t="s">
        <v>10</v>
      </c>
      <c r="F4" t="s">
        <v>11</v>
      </c>
      <c r="G4" t="s">
        <v>8</v>
      </c>
      <c r="H4" t="s">
        <v>41</v>
      </c>
    </row>
    <row r="5" spans="1:8" x14ac:dyDescent="0.3">
      <c r="A5" t="s">
        <v>42</v>
      </c>
      <c r="B5" s="13">
        <v>729423</v>
      </c>
      <c r="C5" s="13">
        <v>437552</v>
      </c>
      <c r="D5" s="13">
        <v>485596</v>
      </c>
      <c r="E5" s="13">
        <v>750168</v>
      </c>
      <c r="F5" s="13">
        <v>1291616</v>
      </c>
      <c r="G5" s="13">
        <v>785488</v>
      </c>
      <c r="H5" s="13">
        <v>4479843</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349EBA-E1D9-4601-A8EF-E97BEA37A87A}">
  <dimension ref="A3:B8"/>
  <sheetViews>
    <sheetView workbookViewId="0">
      <selection activeCell="B7" sqref="B7"/>
    </sheetView>
  </sheetViews>
  <sheetFormatPr defaultRowHeight="14.4" x14ac:dyDescent="0.3"/>
  <cols>
    <col min="1" max="1" width="12.5546875" bestFit="1" customWidth="1"/>
    <col min="2" max="2" width="11.6640625" bestFit="1" customWidth="1"/>
  </cols>
  <sheetData>
    <row r="3" spans="1:2" x14ac:dyDescent="0.3">
      <c r="A3" s="11" t="s">
        <v>40</v>
      </c>
      <c r="B3" t="s">
        <v>42</v>
      </c>
    </row>
    <row r="4" spans="1:2" x14ac:dyDescent="0.3">
      <c r="A4" s="12" t="s">
        <v>9</v>
      </c>
      <c r="B4" s="13">
        <v>773681</v>
      </c>
    </row>
    <row r="5" spans="1:2" x14ac:dyDescent="0.3">
      <c r="A5" s="12" t="s">
        <v>22</v>
      </c>
      <c r="B5" s="13">
        <v>1042698</v>
      </c>
    </row>
    <row r="6" spans="1:2" x14ac:dyDescent="0.3">
      <c r="A6" s="12" t="s">
        <v>21</v>
      </c>
      <c r="B6" s="13">
        <v>1353908</v>
      </c>
    </row>
    <row r="7" spans="1:2" x14ac:dyDescent="0.3">
      <c r="A7" s="12" t="s">
        <v>20</v>
      </c>
      <c r="B7" s="13">
        <v>1309556</v>
      </c>
    </row>
    <row r="8" spans="1:2" x14ac:dyDescent="0.3">
      <c r="A8" s="12" t="s">
        <v>41</v>
      </c>
      <c r="B8" s="13">
        <v>4479843</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H109"/>
  <sheetViews>
    <sheetView topLeftCell="A3" workbookViewId="0">
      <selection activeCell="A2" sqref="A2:H109"/>
    </sheetView>
  </sheetViews>
  <sheetFormatPr defaultRowHeight="14.4" x14ac:dyDescent="0.3"/>
  <cols>
    <col min="2" max="2" width="11.33203125" bestFit="1" customWidth="1"/>
    <col min="3" max="3" width="10" customWidth="1"/>
  </cols>
  <sheetData>
    <row r="2" spans="1:8" x14ac:dyDescent="0.3">
      <c r="A2" t="s">
        <v>7</v>
      </c>
      <c r="B2" t="s">
        <v>0</v>
      </c>
      <c r="C2" t="s">
        <v>1</v>
      </c>
      <c r="D2" t="s">
        <v>2</v>
      </c>
      <c r="E2" t="s">
        <v>3</v>
      </c>
      <c r="F2" t="s">
        <v>4</v>
      </c>
      <c r="G2" t="s">
        <v>5</v>
      </c>
      <c r="H2" t="s">
        <v>6</v>
      </c>
    </row>
    <row r="3" spans="1:8" x14ac:dyDescent="0.3">
      <c r="A3">
        <v>1</v>
      </c>
      <c r="B3" s="3">
        <v>40179</v>
      </c>
      <c r="C3" t="s">
        <v>10</v>
      </c>
      <c r="D3" t="s">
        <v>15</v>
      </c>
      <c r="E3" t="s">
        <v>9</v>
      </c>
      <c r="F3">
        <v>16</v>
      </c>
      <c r="G3">
        <v>2195</v>
      </c>
      <c r="H3">
        <f>F3*G3</f>
        <v>35120</v>
      </c>
    </row>
    <row r="4" spans="1:8" x14ac:dyDescent="0.3">
      <c r="A4">
        <v>2</v>
      </c>
      <c r="B4" s="3">
        <v>40180</v>
      </c>
      <c r="C4" t="s">
        <v>8</v>
      </c>
      <c r="D4" t="s">
        <v>16</v>
      </c>
      <c r="E4" t="s">
        <v>9</v>
      </c>
      <c r="F4">
        <v>16</v>
      </c>
      <c r="G4">
        <v>3971</v>
      </c>
      <c r="H4">
        <f t="shared" ref="H4:H17" si="0">F4*G4</f>
        <v>63536</v>
      </c>
    </row>
    <row r="5" spans="1:8" x14ac:dyDescent="0.3">
      <c r="A5">
        <v>3</v>
      </c>
      <c r="B5" s="3">
        <v>40181</v>
      </c>
      <c r="C5" t="s">
        <v>12</v>
      </c>
      <c r="D5" t="s">
        <v>17</v>
      </c>
      <c r="E5" t="s">
        <v>9</v>
      </c>
      <c r="F5">
        <v>11</v>
      </c>
      <c r="G5">
        <v>4859</v>
      </c>
      <c r="H5">
        <f t="shared" si="0"/>
        <v>53449</v>
      </c>
    </row>
    <row r="6" spans="1:8" x14ac:dyDescent="0.3">
      <c r="A6">
        <v>4</v>
      </c>
      <c r="B6" s="3">
        <v>40182</v>
      </c>
      <c r="C6" t="s">
        <v>11</v>
      </c>
      <c r="D6" t="s">
        <v>18</v>
      </c>
      <c r="E6" t="s">
        <v>9</v>
      </c>
      <c r="F6">
        <v>16</v>
      </c>
      <c r="G6">
        <v>2055</v>
      </c>
      <c r="H6">
        <f t="shared" si="0"/>
        <v>32880</v>
      </c>
    </row>
    <row r="7" spans="1:8" x14ac:dyDescent="0.3">
      <c r="A7">
        <v>5</v>
      </c>
      <c r="B7" s="3">
        <v>40183</v>
      </c>
      <c r="C7" t="s">
        <v>14</v>
      </c>
      <c r="D7" t="s">
        <v>19</v>
      </c>
      <c r="E7" t="s">
        <v>9</v>
      </c>
      <c r="F7">
        <v>17</v>
      </c>
      <c r="G7">
        <v>3892</v>
      </c>
      <c r="H7">
        <f t="shared" si="0"/>
        <v>66164</v>
      </c>
    </row>
    <row r="8" spans="1:8" x14ac:dyDescent="0.3">
      <c r="A8">
        <v>6</v>
      </c>
      <c r="B8" s="3">
        <v>40184</v>
      </c>
      <c r="C8" t="s">
        <v>10</v>
      </c>
      <c r="D8" t="s">
        <v>15</v>
      </c>
      <c r="E8" t="s">
        <v>9</v>
      </c>
      <c r="F8">
        <v>11</v>
      </c>
      <c r="G8">
        <v>4640</v>
      </c>
      <c r="H8">
        <f t="shared" si="0"/>
        <v>51040</v>
      </c>
    </row>
    <row r="9" spans="1:8" x14ac:dyDescent="0.3">
      <c r="A9">
        <v>7</v>
      </c>
      <c r="B9" s="3">
        <v>40185</v>
      </c>
      <c r="C9" t="s">
        <v>8</v>
      </c>
      <c r="D9" t="s">
        <v>16</v>
      </c>
      <c r="E9" t="s">
        <v>9</v>
      </c>
      <c r="F9">
        <v>16</v>
      </c>
      <c r="G9">
        <v>4610</v>
      </c>
      <c r="H9">
        <f t="shared" si="0"/>
        <v>73760</v>
      </c>
    </row>
    <row r="10" spans="1:8" x14ac:dyDescent="0.3">
      <c r="A10">
        <v>8</v>
      </c>
      <c r="B10" s="3">
        <v>40186</v>
      </c>
      <c r="C10" t="s">
        <v>12</v>
      </c>
      <c r="D10" t="s">
        <v>17</v>
      </c>
      <c r="E10" t="s">
        <v>9</v>
      </c>
      <c r="F10">
        <v>18</v>
      </c>
      <c r="G10">
        <v>2221</v>
      </c>
      <c r="H10">
        <f t="shared" si="0"/>
        <v>39978</v>
      </c>
    </row>
    <row r="11" spans="1:8" x14ac:dyDescent="0.3">
      <c r="A11">
        <v>9</v>
      </c>
      <c r="B11" s="3">
        <v>40187</v>
      </c>
      <c r="C11" t="s">
        <v>11</v>
      </c>
      <c r="D11" t="s">
        <v>18</v>
      </c>
      <c r="E11" t="s">
        <v>9</v>
      </c>
      <c r="F11">
        <v>14</v>
      </c>
      <c r="G11">
        <v>3949</v>
      </c>
      <c r="H11">
        <f t="shared" si="0"/>
        <v>55286</v>
      </c>
    </row>
    <row r="12" spans="1:8" x14ac:dyDescent="0.3">
      <c r="A12">
        <v>10</v>
      </c>
      <c r="B12" s="3">
        <v>40188</v>
      </c>
      <c r="C12" t="s">
        <v>14</v>
      </c>
      <c r="D12" t="s">
        <v>19</v>
      </c>
      <c r="E12" t="s">
        <v>9</v>
      </c>
      <c r="F12">
        <v>14</v>
      </c>
      <c r="G12">
        <v>2943</v>
      </c>
      <c r="H12">
        <f t="shared" si="0"/>
        <v>41202</v>
      </c>
    </row>
    <row r="13" spans="1:8" x14ac:dyDescent="0.3">
      <c r="A13">
        <v>11</v>
      </c>
      <c r="B13" s="3">
        <v>40184</v>
      </c>
      <c r="C13" t="s">
        <v>10</v>
      </c>
      <c r="D13" t="s">
        <v>15</v>
      </c>
      <c r="E13" t="s">
        <v>9</v>
      </c>
      <c r="F13">
        <v>11</v>
      </c>
      <c r="G13">
        <v>4640</v>
      </c>
      <c r="H13">
        <f t="shared" si="0"/>
        <v>51040</v>
      </c>
    </row>
    <row r="14" spans="1:8" x14ac:dyDescent="0.3">
      <c r="A14">
        <v>12</v>
      </c>
      <c r="B14" s="3">
        <v>40185</v>
      </c>
      <c r="C14" t="s">
        <v>8</v>
      </c>
      <c r="D14" t="s">
        <v>16</v>
      </c>
      <c r="E14" t="s">
        <v>9</v>
      </c>
      <c r="F14">
        <v>16</v>
      </c>
      <c r="G14">
        <v>4610</v>
      </c>
      <c r="H14">
        <f t="shared" si="0"/>
        <v>73760</v>
      </c>
    </row>
    <row r="15" spans="1:8" x14ac:dyDescent="0.3">
      <c r="A15">
        <v>13</v>
      </c>
      <c r="B15" s="3">
        <v>40186</v>
      </c>
      <c r="C15" t="s">
        <v>12</v>
      </c>
      <c r="D15" t="s">
        <v>17</v>
      </c>
      <c r="E15" t="s">
        <v>9</v>
      </c>
      <c r="F15">
        <v>18</v>
      </c>
      <c r="G15">
        <v>2221</v>
      </c>
      <c r="H15">
        <f t="shared" si="0"/>
        <v>39978</v>
      </c>
    </row>
    <row r="16" spans="1:8" x14ac:dyDescent="0.3">
      <c r="A16">
        <v>14</v>
      </c>
      <c r="B16" s="3">
        <v>40187</v>
      </c>
      <c r="C16" t="s">
        <v>11</v>
      </c>
      <c r="D16" t="s">
        <v>18</v>
      </c>
      <c r="E16" t="s">
        <v>9</v>
      </c>
      <c r="F16">
        <v>14</v>
      </c>
      <c r="G16">
        <v>3949</v>
      </c>
      <c r="H16">
        <f t="shared" si="0"/>
        <v>55286</v>
      </c>
    </row>
    <row r="17" spans="1:8" x14ac:dyDescent="0.3">
      <c r="A17">
        <v>15</v>
      </c>
      <c r="B17" s="3">
        <v>40188</v>
      </c>
      <c r="C17" t="s">
        <v>14</v>
      </c>
      <c r="D17" t="s">
        <v>19</v>
      </c>
      <c r="E17" t="s">
        <v>9</v>
      </c>
      <c r="F17">
        <v>14</v>
      </c>
      <c r="G17">
        <v>2943</v>
      </c>
      <c r="H17">
        <f t="shared" si="0"/>
        <v>41202</v>
      </c>
    </row>
    <row r="18" spans="1:8" x14ac:dyDescent="0.3">
      <c r="A18">
        <v>16</v>
      </c>
      <c r="B18" s="3">
        <v>40179</v>
      </c>
      <c r="C18" t="s">
        <v>8</v>
      </c>
      <c r="D18" t="s">
        <v>15</v>
      </c>
      <c r="E18" t="s">
        <v>20</v>
      </c>
      <c r="F18">
        <v>16</v>
      </c>
      <c r="G18">
        <v>2856</v>
      </c>
      <c r="H18">
        <f>F18*G18</f>
        <v>45696</v>
      </c>
    </row>
    <row r="19" spans="1:8" x14ac:dyDescent="0.3">
      <c r="A19">
        <v>17</v>
      </c>
      <c r="B19" s="3">
        <v>40180</v>
      </c>
      <c r="C19" t="s">
        <v>10</v>
      </c>
      <c r="D19" t="s">
        <v>16</v>
      </c>
      <c r="E19" t="s">
        <v>20</v>
      </c>
      <c r="F19">
        <v>13</v>
      </c>
      <c r="G19">
        <v>2722</v>
      </c>
      <c r="H19">
        <f t="shared" ref="H19:H32" si="1">F19*G19</f>
        <v>35386</v>
      </c>
    </row>
    <row r="20" spans="1:8" x14ac:dyDescent="0.3">
      <c r="A20">
        <v>18</v>
      </c>
      <c r="B20" s="3">
        <v>40181</v>
      </c>
      <c r="C20" t="s">
        <v>11</v>
      </c>
      <c r="D20" t="s">
        <v>17</v>
      </c>
      <c r="E20" t="s">
        <v>20</v>
      </c>
      <c r="F20">
        <v>18</v>
      </c>
      <c r="G20">
        <v>2900</v>
      </c>
      <c r="H20">
        <f t="shared" si="1"/>
        <v>52200</v>
      </c>
    </row>
    <row r="21" spans="1:8" x14ac:dyDescent="0.3">
      <c r="A21">
        <v>19</v>
      </c>
      <c r="B21" s="3">
        <v>40182</v>
      </c>
      <c r="C21" t="s">
        <v>12</v>
      </c>
      <c r="D21" t="s">
        <v>18</v>
      </c>
      <c r="E21" t="s">
        <v>20</v>
      </c>
      <c r="F21">
        <v>13</v>
      </c>
      <c r="G21">
        <v>2236</v>
      </c>
      <c r="H21">
        <f t="shared" si="1"/>
        <v>29068</v>
      </c>
    </row>
    <row r="22" spans="1:8" x14ac:dyDescent="0.3">
      <c r="A22">
        <v>20</v>
      </c>
      <c r="B22" s="3">
        <v>40183</v>
      </c>
      <c r="C22" t="s">
        <v>13</v>
      </c>
      <c r="D22" t="s">
        <v>19</v>
      </c>
      <c r="E22" t="s">
        <v>20</v>
      </c>
      <c r="F22">
        <v>10</v>
      </c>
      <c r="G22">
        <v>4569</v>
      </c>
      <c r="H22">
        <f t="shared" si="1"/>
        <v>45690</v>
      </c>
    </row>
    <row r="23" spans="1:8" x14ac:dyDescent="0.3">
      <c r="A23">
        <v>21</v>
      </c>
      <c r="B23" s="3">
        <v>40184</v>
      </c>
      <c r="C23" t="s">
        <v>8</v>
      </c>
      <c r="D23" t="s">
        <v>15</v>
      </c>
      <c r="E23" t="s">
        <v>20</v>
      </c>
      <c r="F23">
        <v>11</v>
      </c>
      <c r="G23">
        <v>3782</v>
      </c>
      <c r="H23">
        <f t="shared" si="1"/>
        <v>41602</v>
      </c>
    </row>
    <row r="24" spans="1:8" x14ac:dyDescent="0.3">
      <c r="A24">
        <v>22</v>
      </c>
      <c r="B24" s="3">
        <v>40185</v>
      </c>
      <c r="C24" t="s">
        <v>10</v>
      </c>
      <c r="D24" t="s">
        <v>16</v>
      </c>
      <c r="E24" t="s">
        <v>20</v>
      </c>
      <c r="F24">
        <v>15</v>
      </c>
      <c r="G24">
        <v>2823</v>
      </c>
      <c r="H24">
        <f t="shared" si="1"/>
        <v>42345</v>
      </c>
    </row>
    <row r="25" spans="1:8" x14ac:dyDescent="0.3">
      <c r="A25">
        <v>23</v>
      </c>
      <c r="B25" s="3">
        <v>40186</v>
      </c>
      <c r="C25" t="s">
        <v>11</v>
      </c>
      <c r="D25" t="s">
        <v>17</v>
      </c>
      <c r="E25" t="s">
        <v>20</v>
      </c>
      <c r="F25">
        <v>12</v>
      </c>
      <c r="G25">
        <v>4729</v>
      </c>
      <c r="H25">
        <f t="shared" si="1"/>
        <v>56748</v>
      </c>
    </row>
    <row r="26" spans="1:8" x14ac:dyDescent="0.3">
      <c r="A26">
        <v>24</v>
      </c>
      <c r="B26" s="3">
        <v>40187</v>
      </c>
      <c r="C26" t="s">
        <v>12</v>
      </c>
      <c r="D26" t="s">
        <v>18</v>
      </c>
      <c r="E26" t="s">
        <v>20</v>
      </c>
      <c r="F26">
        <v>12</v>
      </c>
      <c r="G26">
        <v>4007</v>
      </c>
      <c r="H26">
        <f t="shared" si="1"/>
        <v>48084</v>
      </c>
    </row>
    <row r="27" spans="1:8" x14ac:dyDescent="0.3">
      <c r="A27">
        <v>25</v>
      </c>
      <c r="B27" s="3">
        <v>40188</v>
      </c>
      <c r="C27" t="s">
        <v>13</v>
      </c>
      <c r="D27" t="s">
        <v>19</v>
      </c>
      <c r="E27" t="s">
        <v>20</v>
      </c>
      <c r="F27">
        <v>10</v>
      </c>
      <c r="G27">
        <v>3459</v>
      </c>
      <c r="H27">
        <f t="shared" si="1"/>
        <v>34590</v>
      </c>
    </row>
    <row r="28" spans="1:8" x14ac:dyDescent="0.3">
      <c r="A28">
        <v>26</v>
      </c>
      <c r="B28" s="3">
        <v>40184</v>
      </c>
      <c r="C28" t="s">
        <v>8</v>
      </c>
      <c r="D28" t="s">
        <v>15</v>
      </c>
      <c r="E28" t="s">
        <v>20</v>
      </c>
      <c r="F28">
        <v>11</v>
      </c>
      <c r="G28">
        <v>3782</v>
      </c>
      <c r="H28">
        <f t="shared" si="1"/>
        <v>41602</v>
      </c>
    </row>
    <row r="29" spans="1:8" x14ac:dyDescent="0.3">
      <c r="A29">
        <v>27</v>
      </c>
      <c r="B29" s="3">
        <v>40185</v>
      </c>
      <c r="C29" t="s">
        <v>10</v>
      </c>
      <c r="D29" t="s">
        <v>16</v>
      </c>
      <c r="E29" t="s">
        <v>20</v>
      </c>
      <c r="F29">
        <v>15</v>
      </c>
      <c r="G29">
        <v>2823</v>
      </c>
      <c r="H29">
        <f t="shared" si="1"/>
        <v>42345</v>
      </c>
    </row>
    <row r="30" spans="1:8" x14ac:dyDescent="0.3">
      <c r="A30">
        <v>28</v>
      </c>
      <c r="B30" s="3">
        <v>40186</v>
      </c>
      <c r="C30" t="s">
        <v>11</v>
      </c>
      <c r="D30" t="s">
        <v>17</v>
      </c>
      <c r="E30" t="s">
        <v>20</v>
      </c>
      <c r="F30">
        <v>12</v>
      </c>
      <c r="G30">
        <v>4729</v>
      </c>
      <c r="H30">
        <f t="shared" si="1"/>
        <v>56748</v>
      </c>
    </row>
    <row r="31" spans="1:8" x14ac:dyDescent="0.3">
      <c r="A31">
        <v>29</v>
      </c>
      <c r="B31" s="3">
        <v>40187</v>
      </c>
      <c r="C31" t="s">
        <v>12</v>
      </c>
      <c r="D31" t="s">
        <v>18</v>
      </c>
      <c r="E31" t="s">
        <v>20</v>
      </c>
      <c r="F31">
        <v>12</v>
      </c>
      <c r="G31">
        <v>4007</v>
      </c>
      <c r="H31">
        <f t="shared" si="1"/>
        <v>48084</v>
      </c>
    </row>
    <row r="32" spans="1:8" x14ac:dyDescent="0.3">
      <c r="A32">
        <v>30</v>
      </c>
      <c r="B32" s="3">
        <v>40188</v>
      </c>
      <c r="C32" t="s">
        <v>13</v>
      </c>
      <c r="D32" t="s">
        <v>19</v>
      </c>
      <c r="E32" t="s">
        <v>20</v>
      </c>
      <c r="F32">
        <v>10</v>
      </c>
      <c r="G32">
        <v>3459</v>
      </c>
      <c r="H32">
        <f t="shared" si="1"/>
        <v>34590</v>
      </c>
    </row>
    <row r="33" spans="1:8" x14ac:dyDescent="0.3">
      <c r="A33">
        <v>31</v>
      </c>
      <c r="B33" s="3">
        <v>40179</v>
      </c>
      <c r="C33" t="s">
        <v>11</v>
      </c>
      <c r="D33" t="s">
        <v>15</v>
      </c>
      <c r="E33" t="s">
        <v>21</v>
      </c>
      <c r="F33">
        <v>10</v>
      </c>
      <c r="G33">
        <v>4057</v>
      </c>
      <c r="H33">
        <f>F33*G33</f>
        <v>40570</v>
      </c>
    </row>
    <row r="34" spans="1:8" x14ac:dyDescent="0.3">
      <c r="A34">
        <v>32</v>
      </c>
      <c r="B34" s="3">
        <v>40180</v>
      </c>
      <c r="C34" t="s">
        <v>14</v>
      </c>
      <c r="D34" t="s">
        <v>16</v>
      </c>
      <c r="E34" t="s">
        <v>21</v>
      </c>
      <c r="F34">
        <v>18</v>
      </c>
      <c r="G34">
        <v>3809</v>
      </c>
      <c r="H34">
        <f t="shared" ref="H34:H47" si="2">F34*G34</f>
        <v>68562</v>
      </c>
    </row>
    <row r="35" spans="1:8" x14ac:dyDescent="0.3">
      <c r="A35">
        <v>33</v>
      </c>
      <c r="B35" s="3">
        <v>40181</v>
      </c>
      <c r="C35" t="s">
        <v>10</v>
      </c>
      <c r="D35" t="s">
        <v>17</v>
      </c>
      <c r="E35" t="s">
        <v>21</v>
      </c>
      <c r="F35">
        <v>16</v>
      </c>
      <c r="G35">
        <v>3987</v>
      </c>
      <c r="H35">
        <f t="shared" si="2"/>
        <v>63792</v>
      </c>
    </row>
    <row r="36" spans="1:8" x14ac:dyDescent="0.3">
      <c r="A36">
        <v>34</v>
      </c>
      <c r="B36" s="3">
        <v>40182</v>
      </c>
      <c r="C36" t="s">
        <v>8</v>
      </c>
      <c r="D36" t="s">
        <v>18</v>
      </c>
      <c r="E36" t="s">
        <v>21</v>
      </c>
      <c r="F36">
        <v>10</v>
      </c>
      <c r="G36">
        <v>2346</v>
      </c>
      <c r="H36">
        <f t="shared" si="2"/>
        <v>23460</v>
      </c>
    </row>
    <row r="37" spans="1:8" x14ac:dyDescent="0.3">
      <c r="A37">
        <v>35</v>
      </c>
      <c r="B37" s="3">
        <v>40183</v>
      </c>
      <c r="C37" t="s">
        <v>8</v>
      </c>
      <c r="D37" t="s">
        <v>19</v>
      </c>
      <c r="E37" t="s">
        <v>21</v>
      </c>
      <c r="F37">
        <v>8</v>
      </c>
      <c r="G37">
        <v>4953</v>
      </c>
      <c r="H37">
        <f t="shared" si="2"/>
        <v>39624</v>
      </c>
    </row>
    <row r="38" spans="1:8" x14ac:dyDescent="0.3">
      <c r="A38">
        <v>36</v>
      </c>
      <c r="B38" s="3">
        <v>40184</v>
      </c>
      <c r="C38" t="s">
        <v>11</v>
      </c>
      <c r="D38" t="s">
        <v>15</v>
      </c>
      <c r="E38" t="s">
        <v>21</v>
      </c>
      <c r="F38">
        <v>18</v>
      </c>
      <c r="G38">
        <v>4088</v>
      </c>
      <c r="H38">
        <f t="shared" si="2"/>
        <v>73584</v>
      </c>
    </row>
    <row r="39" spans="1:8" x14ac:dyDescent="0.3">
      <c r="A39">
        <v>37</v>
      </c>
      <c r="B39" s="3">
        <v>40185</v>
      </c>
      <c r="C39" t="s">
        <v>14</v>
      </c>
      <c r="D39" t="s">
        <v>16</v>
      </c>
      <c r="E39" t="s">
        <v>21</v>
      </c>
      <c r="F39">
        <v>15</v>
      </c>
      <c r="G39">
        <v>2531</v>
      </c>
      <c r="H39">
        <f t="shared" si="2"/>
        <v>37965</v>
      </c>
    </row>
    <row r="40" spans="1:8" x14ac:dyDescent="0.3">
      <c r="A40">
        <v>38</v>
      </c>
      <c r="B40" s="3">
        <v>40186</v>
      </c>
      <c r="C40" t="s">
        <v>10</v>
      </c>
      <c r="D40" t="s">
        <v>17</v>
      </c>
      <c r="E40" t="s">
        <v>21</v>
      </c>
      <c r="F40">
        <v>13</v>
      </c>
      <c r="G40">
        <v>4716</v>
      </c>
      <c r="H40">
        <f t="shared" si="2"/>
        <v>61308</v>
      </c>
    </row>
    <row r="41" spans="1:8" x14ac:dyDescent="0.3">
      <c r="A41">
        <v>39</v>
      </c>
      <c r="B41" s="3">
        <v>40187</v>
      </c>
      <c r="C41" t="s">
        <v>8</v>
      </c>
      <c r="D41" t="s">
        <v>18</v>
      </c>
      <c r="E41" t="s">
        <v>21</v>
      </c>
      <c r="F41">
        <v>11</v>
      </c>
      <c r="G41">
        <v>2806</v>
      </c>
      <c r="H41">
        <f t="shared" si="2"/>
        <v>30866</v>
      </c>
    </row>
    <row r="42" spans="1:8" x14ac:dyDescent="0.3">
      <c r="A42">
        <v>40</v>
      </c>
      <c r="B42" s="3">
        <v>40188</v>
      </c>
      <c r="C42" t="s">
        <v>8</v>
      </c>
      <c r="D42" t="s">
        <v>19</v>
      </c>
      <c r="E42" t="s">
        <v>21</v>
      </c>
      <c r="F42">
        <v>5</v>
      </c>
      <c r="G42">
        <v>3350</v>
      </c>
      <c r="H42">
        <f t="shared" si="2"/>
        <v>16750</v>
      </c>
    </row>
    <row r="43" spans="1:8" x14ac:dyDescent="0.3">
      <c r="A43">
        <v>41</v>
      </c>
      <c r="B43" s="3">
        <v>40184</v>
      </c>
      <c r="C43" t="s">
        <v>11</v>
      </c>
      <c r="D43" t="s">
        <v>15</v>
      </c>
      <c r="E43" t="s">
        <v>21</v>
      </c>
      <c r="F43">
        <v>18</v>
      </c>
      <c r="G43">
        <v>4088</v>
      </c>
      <c r="H43">
        <f t="shared" si="2"/>
        <v>73584</v>
      </c>
    </row>
    <row r="44" spans="1:8" x14ac:dyDescent="0.3">
      <c r="A44">
        <v>42</v>
      </c>
      <c r="B44" s="3">
        <v>40185</v>
      </c>
      <c r="C44" t="s">
        <v>14</v>
      </c>
      <c r="D44" t="s">
        <v>16</v>
      </c>
      <c r="E44" t="s">
        <v>21</v>
      </c>
      <c r="F44">
        <v>15</v>
      </c>
      <c r="G44">
        <v>2531</v>
      </c>
      <c r="H44">
        <f t="shared" si="2"/>
        <v>37965</v>
      </c>
    </row>
    <row r="45" spans="1:8" x14ac:dyDescent="0.3">
      <c r="A45">
        <v>43</v>
      </c>
      <c r="B45" s="3">
        <v>40186</v>
      </c>
      <c r="C45" t="s">
        <v>10</v>
      </c>
      <c r="D45" t="s">
        <v>17</v>
      </c>
      <c r="E45" t="s">
        <v>21</v>
      </c>
      <c r="F45">
        <v>13</v>
      </c>
      <c r="G45">
        <v>4716</v>
      </c>
      <c r="H45">
        <f t="shared" si="2"/>
        <v>61308</v>
      </c>
    </row>
    <row r="46" spans="1:8" x14ac:dyDescent="0.3">
      <c r="A46">
        <v>44</v>
      </c>
      <c r="B46" s="3">
        <v>40187</v>
      </c>
      <c r="C46" t="s">
        <v>8</v>
      </c>
      <c r="D46" t="s">
        <v>18</v>
      </c>
      <c r="E46" t="s">
        <v>21</v>
      </c>
      <c r="F46">
        <v>11</v>
      </c>
      <c r="G46">
        <v>2806</v>
      </c>
      <c r="H46">
        <f t="shared" si="2"/>
        <v>30866</v>
      </c>
    </row>
    <row r="47" spans="1:8" x14ac:dyDescent="0.3">
      <c r="A47">
        <v>45</v>
      </c>
      <c r="B47" s="3">
        <v>40188</v>
      </c>
      <c r="C47" t="s">
        <v>8</v>
      </c>
      <c r="D47" t="s">
        <v>19</v>
      </c>
      <c r="E47" t="s">
        <v>21</v>
      </c>
      <c r="F47">
        <v>5</v>
      </c>
      <c r="G47">
        <v>3350</v>
      </c>
      <c r="H47">
        <f t="shared" si="2"/>
        <v>16750</v>
      </c>
    </row>
    <row r="48" spans="1:8" x14ac:dyDescent="0.3">
      <c r="A48">
        <v>46</v>
      </c>
      <c r="B48" s="3">
        <v>40179</v>
      </c>
      <c r="C48" t="s">
        <v>13</v>
      </c>
      <c r="D48" t="s">
        <v>15</v>
      </c>
      <c r="E48" t="s">
        <v>22</v>
      </c>
      <c r="F48">
        <v>5</v>
      </c>
      <c r="G48">
        <v>3270</v>
      </c>
      <c r="H48">
        <f>F48*G48</f>
        <v>16350</v>
      </c>
    </row>
    <row r="49" spans="1:8" x14ac:dyDescent="0.3">
      <c r="A49">
        <v>47</v>
      </c>
      <c r="B49" s="3">
        <v>40180</v>
      </c>
      <c r="C49" t="s">
        <v>12</v>
      </c>
      <c r="D49" t="s">
        <v>16</v>
      </c>
      <c r="E49" t="s">
        <v>22</v>
      </c>
      <c r="F49">
        <v>17</v>
      </c>
      <c r="G49">
        <v>4245</v>
      </c>
      <c r="H49">
        <f t="shared" ref="H49:H63" si="3">F49*G49</f>
        <v>72165</v>
      </c>
    </row>
    <row r="50" spans="1:8" x14ac:dyDescent="0.3">
      <c r="A50">
        <v>48</v>
      </c>
      <c r="B50" s="3">
        <v>40181</v>
      </c>
      <c r="C50" t="s">
        <v>13</v>
      </c>
      <c r="D50" t="s">
        <v>17</v>
      </c>
      <c r="E50" t="s">
        <v>22</v>
      </c>
      <c r="F50">
        <v>5</v>
      </c>
      <c r="G50">
        <v>4864</v>
      </c>
      <c r="H50">
        <f t="shared" si="3"/>
        <v>24320</v>
      </c>
    </row>
    <row r="51" spans="1:8" x14ac:dyDescent="0.3">
      <c r="A51">
        <v>49</v>
      </c>
      <c r="B51" s="3">
        <v>40182</v>
      </c>
      <c r="C51" t="s">
        <v>13</v>
      </c>
      <c r="D51" t="s">
        <v>18</v>
      </c>
      <c r="E51" t="s">
        <v>22</v>
      </c>
      <c r="F51">
        <v>6</v>
      </c>
      <c r="G51">
        <v>2381</v>
      </c>
      <c r="H51">
        <f t="shared" si="3"/>
        <v>14286</v>
      </c>
    </row>
    <row r="52" spans="1:8" x14ac:dyDescent="0.3">
      <c r="A52">
        <v>50</v>
      </c>
      <c r="B52" s="3">
        <v>40183</v>
      </c>
      <c r="C52" t="s">
        <v>11</v>
      </c>
      <c r="D52" t="s">
        <v>19</v>
      </c>
      <c r="E52" t="s">
        <v>22</v>
      </c>
      <c r="F52">
        <v>10</v>
      </c>
      <c r="G52">
        <v>3503</v>
      </c>
      <c r="H52">
        <f t="shared" si="3"/>
        <v>35030</v>
      </c>
    </row>
    <row r="53" spans="1:8" x14ac:dyDescent="0.3">
      <c r="A53">
        <v>51</v>
      </c>
      <c r="B53" s="3">
        <v>40184</v>
      </c>
      <c r="C53" t="s">
        <v>13</v>
      </c>
      <c r="D53" t="s">
        <v>15</v>
      </c>
      <c r="E53" t="s">
        <v>22</v>
      </c>
      <c r="F53">
        <v>5</v>
      </c>
      <c r="G53">
        <v>3176</v>
      </c>
      <c r="H53">
        <f t="shared" si="3"/>
        <v>15880</v>
      </c>
    </row>
    <row r="54" spans="1:8" x14ac:dyDescent="0.3">
      <c r="A54">
        <v>52</v>
      </c>
      <c r="B54" s="3">
        <v>40185</v>
      </c>
      <c r="C54" t="s">
        <v>12</v>
      </c>
      <c r="D54" t="s">
        <v>16</v>
      </c>
      <c r="E54" t="s">
        <v>22</v>
      </c>
      <c r="F54">
        <v>12</v>
      </c>
      <c r="G54">
        <v>4192</v>
      </c>
      <c r="H54">
        <f t="shared" si="3"/>
        <v>50304</v>
      </c>
    </row>
    <row r="55" spans="1:8" x14ac:dyDescent="0.3">
      <c r="A55">
        <v>53</v>
      </c>
      <c r="B55" s="3">
        <v>40186</v>
      </c>
      <c r="C55" t="s">
        <v>13</v>
      </c>
      <c r="D55" t="s">
        <v>17</v>
      </c>
      <c r="E55" t="s">
        <v>22</v>
      </c>
      <c r="F55">
        <v>2</v>
      </c>
      <c r="G55">
        <v>4793</v>
      </c>
      <c r="H55">
        <f t="shared" si="3"/>
        <v>9586</v>
      </c>
    </row>
    <row r="56" spans="1:8" x14ac:dyDescent="0.3">
      <c r="A56">
        <v>54</v>
      </c>
      <c r="B56" s="3">
        <v>40187</v>
      </c>
      <c r="C56" t="s">
        <v>13</v>
      </c>
      <c r="D56" t="s">
        <v>18</v>
      </c>
      <c r="E56" t="s">
        <v>22</v>
      </c>
      <c r="F56">
        <v>5</v>
      </c>
      <c r="G56">
        <v>2204</v>
      </c>
      <c r="H56">
        <f t="shared" si="3"/>
        <v>11020</v>
      </c>
    </row>
    <row r="57" spans="1:8" x14ac:dyDescent="0.3">
      <c r="A57">
        <v>55</v>
      </c>
      <c r="B57" s="3">
        <v>40188</v>
      </c>
      <c r="C57" t="s">
        <v>11</v>
      </c>
      <c r="D57" t="s">
        <v>19</v>
      </c>
      <c r="E57" t="s">
        <v>22</v>
      </c>
      <c r="F57">
        <v>18</v>
      </c>
      <c r="G57">
        <v>4183</v>
      </c>
      <c r="H57">
        <f t="shared" si="3"/>
        <v>75294</v>
      </c>
    </row>
    <row r="58" spans="1:8" x14ac:dyDescent="0.3">
      <c r="A58">
        <v>56</v>
      </c>
      <c r="B58" s="3">
        <v>40183</v>
      </c>
      <c r="C58" t="s">
        <v>11</v>
      </c>
      <c r="D58" t="s">
        <v>19</v>
      </c>
      <c r="E58" t="s">
        <v>22</v>
      </c>
      <c r="F58">
        <v>10</v>
      </c>
      <c r="G58">
        <v>3503</v>
      </c>
      <c r="H58">
        <f t="shared" si="3"/>
        <v>35030</v>
      </c>
    </row>
    <row r="59" spans="1:8" x14ac:dyDescent="0.3">
      <c r="A59">
        <v>57</v>
      </c>
      <c r="B59" s="3">
        <v>40184</v>
      </c>
      <c r="C59" t="s">
        <v>13</v>
      </c>
      <c r="D59" t="s">
        <v>15</v>
      </c>
      <c r="E59" t="s">
        <v>22</v>
      </c>
      <c r="F59">
        <v>5</v>
      </c>
      <c r="G59">
        <v>3176</v>
      </c>
      <c r="H59">
        <f t="shared" si="3"/>
        <v>15880</v>
      </c>
    </row>
    <row r="60" spans="1:8" x14ac:dyDescent="0.3">
      <c r="A60">
        <v>58</v>
      </c>
      <c r="B60" s="3">
        <v>40185</v>
      </c>
      <c r="C60" t="s">
        <v>12</v>
      </c>
      <c r="D60" t="s">
        <v>16</v>
      </c>
      <c r="E60" t="s">
        <v>22</v>
      </c>
      <c r="F60">
        <v>12</v>
      </c>
      <c r="G60">
        <v>4192</v>
      </c>
      <c r="H60">
        <f t="shared" si="3"/>
        <v>50304</v>
      </c>
    </row>
    <row r="61" spans="1:8" x14ac:dyDescent="0.3">
      <c r="A61">
        <v>59</v>
      </c>
      <c r="B61" s="3">
        <v>40186</v>
      </c>
      <c r="C61" t="s">
        <v>13</v>
      </c>
      <c r="D61" t="s">
        <v>17</v>
      </c>
      <c r="E61" t="s">
        <v>22</v>
      </c>
      <c r="F61">
        <v>2</v>
      </c>
      <c r="G61">
        <v>4793</v>
      </c>
      <c r="H61">
        <f t="shared" si="3"/>
        <v>9586</v>
      </c>
    </row>
    <row r="62" spans="1:8" x14ac:dyDescent="0.3">
      <c r="A62">
        <v>60</v>
      </c>
      <c r="B62" s="3">
        <v>40187</v>
      </c>
      <c r="C62" t="s">
        <v>13</v>
      </c>
      <c r="D62" t="s">
        <v>18</v>
      </c>
      <c r="E62" t="s">
        <v>22</v>
      </c>
      <c r="F62">
        <v>5</v>
      </c>
      <c r="G62">
        <v>2204</v>
      </c>
      <c r="H62">
        <f t="shared" si="3"/>
        <v>11020</v>
      </c>
    </row>
    <row r="63" spans="1:8" x14ac:dyDescent="0.3">
      <c r="A63">
        <v>61</v>
      </c>
      <c r="B63" s="3">
        <v>40188</v>
      </c>
      <c r="C63" t="s">
        <v>11</v>
      </c>
      <c r="D63" t="s">
        <v>19</v>
      </c>
      <c r="E63" t="s">
        <v>22</v>
      </c>
      <c r="F63">
        <v>18</v>
      </c>
      <c r="G63">
        <v>4183</v>
      </c>
      <c r="H63">
        <f t="shared" si="3"/>
        <v>75294</v>
      </c>
    </row>
    <row r="64" spans="1:8" x14ac:dyDescent="0.3">
      <c r="A64">
        <v>62</v>
      </c>
      <c r="B64" s="3">
        <v>40179</v>
      </c>
      <c r="C64" t="s">
        <v>8</v>
      </c>
      <c r="D64" t="s">
        <v>15</v>
      </c>
      <c r="E64" t="s">
        <v>20</v>
      </c>
      <c r="F64">
        <v>16</v>
      </c>
      <c r="G64">
        <v>2856</v>
      </c>
      <c r="H64">
        <f>F64*G64</f>
        <v>45696</v>
      </c>
    </row>
    <row r="65" spans="1:8" x14ac:dyDescent="0.3">
      <c r="A65">
        <v>63</v>
      </c>
      <c r="B65" s="3">
        <v>40180</v>
      </c>
      <c r="C65" t="s">
        <v>10</v>
      </c>
      <c r="D65" t="s">
        <v>16</v>
      </c>
      <c r="E65" t="s">
        <v>20</v>
      </c>
      <c r="F65">
        <v>13</v>
      </c>
      <c r="G65">
        <v>2722</v>
      </c>
      <c r="H65">
        <f t="shared" ref="H65:H78" si="4">F65*G65</f>
        <v>35386</v>
      </c>
    </row>
    <row r="66" spans="1:8" x14ac:dyDescent="0.3">
      <c r="A66">
        <v>64</v>
      </c>
      <c r="B66" s="3">
        <v>40181</v>
      </c>
      <c r="C66" t="s">
        <v>11</v>
      </c>
      <c r="D66" t="s">
        <v>17</v>
      </c>
      <c r="E66" t="s">
        <v>20</v>
      </c>
      <c r="F66">
        <v>18</v>
      </c>
      <c r="G66">
        <v>2900</v>
      </c>
      <c r="H66">
        <f t="shared" si="4"/>
        <v>52200</v>
      </c>
    </row>
    <row r="67" spans="1:8" x14ac:dyDescent="0.3">
      <c r="A67">
        <v>65</v>
      </c>
      <c r="B67" s="3">
        <v>40182</v>
      </c>
      <c r="C67" t="s">
        <v>12</v>
      </c>
      <c r="D67" t="s">
        <v>18</v>
      </c>
      <c r="E67" t="s">
        <v>20</v>
      </c>
      <c r="F67">
        <v>13</v>
      </c>
      <c r="G67">
        <v>2236</v>
      </c>
      <c r="H67">
        <f t="shared" si="4"/>
        <v>29068</v>
      </c>
    </row>
    <row r="68" spans="1:8" x14ac:dyDescent="0.3">
      <c r="A68">
        <v>66</v>
      </c>
      <c r="B68" s="3">
        <v>40183</v>
      </c>
      <c r="C68" t="s">
        <v>13</v>
      </c>
      <c r="D68" t="s">
        <v>19</v>
      </c>
      <c r="E68" t="s">
        <v>20</v>
      </c>
      <c r="F68">
        <v>10</v>
      </c>
      <c r="G68">
        <v>4569</v>
      </c>
      <c r="H68">
        <f t="shared" si="4"/>
        <v>45690</v>
      </c>
    </row>
    <row r="69" spans="1:8" x14ac:dyDescent="0.3">
      <c r="A69">
        <v>67</v>
      </c>
      <c r="B69" s="3">
        <v>40184</v>
      </c>
      <c r="C69" t="s">
        <v>8</v>
      </c>
      <c r="D69" t="s">
        <v>15</v>
      </c>
      <c r="E69" t="s">
        <v>20</v>
      </c>
      <c r="F69">
        <v>11</v>
      </c>
      <c r="G69">
        <v>3782</v>
      </c>
      <c r="H69">
        <f t="shared" si="4"/>
        <v>41602</v>
      </c>
    </row>
    <row r="70" spans="1:8" x14ac:dyDescent="0.3">
      <c r="A70">
        <v>68</v>
      </c>
      <c r="B70" s="3">
        <v>40185</v>
      </c>
      <c r="C70" t="s">
        <v>10</v>
      </c>
      <c r="D70" t="s">
        <v>16</v>
      </c>
      <c r="E70" t="s">
        <v>20</v>
      </c>
      <c r="F70">
        <v>15</v>
      </c>
      <c r="G70">
        <v>2823</v>
      </c>
      <c r="H70">
        <f t="shared" si="4"/>
        <v>42345</v>
      </c>
    </row>
    <row r="71" spans="1:8" x14ac:dyDescent="0.3">
      <c r="A71">
        <v>69</v>
      </c>
      <c r="B71" s="3">
        <v>40186</v>
      </c>
      <c r="C71" t="s">
        <v>11</v>
      </c>
      <c r="D71" t="s">
        <v>17</v>
      </c>
      <c r="E71" t="s">
        <v>20</v>
      </c>
      <c r="F71">
        <v>12</v>
      </c>
      <c r="G71">
        <v>4729</v>
      </c>
      <c r="H71">
        <f t="shared" si="4"/>
        <v>56748</v>
      </c>
    </row>
    <row r="72" spans="1:8" x14ac:dyDescent="0.3">
      <c r="A72">
        <v>70</v>
      </c>
      <c r="B72" s="3">
        <v>40187</v>
      </c>
      <c r="C72" t="s">
        <v>12</v>
      </c>
      <c r="D72" t="s">
        <v>18</v>
      </c>
      <c r="E72" t="s">
        <v>20</v>
      </c>
      <c r="F72">
        <v>12</v>
      </c>
      <c r="G72">
        <v>4007</v>
      </c>
      <c r="H72">
        <f t="shared" si="4"/>
        <v>48084</v>
      </c>
    </row>
    <row r="73" spans="1:8" x14ac:dyDescent="0.3">
      <c r="A73">
        <v>71</v>
      </c>
      <c r="B73" s="3">
        <v>40188</v>
      </c>
      <c r="C73" t="s">
        <v>13</v>
      </c>
      <c r="D73" t="s">
        <v>19</v>
      </c>
      <c r="E73" t="s">
        <v>20</v>
      </c>
      <c r="F73">
        <v>10</v>
      </c>
      <c r="G73">
        <v>3459</v>
      </c>
      <c r="H73">
        <f t="shared" si="4"/>
        <v>34590</v>
      </c>
    </row>
    <row r="74" spans="1:8" x14ac:dyDescent="0.3">
      <c r="A74">
        <v>72</v>
      </c>
      <c r="B74" s="3">
        <v>40184</v>
      </c>
      <c r="C74" t="s">
        <v>8</v>
      </c>
      <c r="D74" t="s">
        <v>15</v>
      </c>
      <c r="E74" t="s">
        <v>20</v>
      </c>
      <c r="F74">
        <v>11</v>
      </c>
      <c r="G74">
        <v>3782</v>
      </c>
      <c r="H74">
        <f t="shared" si="4"/>
        <v>41602</v>
      </c>
    </row>
    <row r="75" spans="1:8" x14ac:dyDescent="0.3">
      <c r="A75">
        <v>73</v>
      </c>
      <c r="B75" s="3">
        <v>40185</v>
      </c>
      <c r="C75" t="s">
        <v>10</v>
      </c>
      <c r="D75" t="s">
        <v>16</v>
      </c>
      <c r="E75" t="s">
        <v>20</v>
      </c>
      <c r="F75">
        <v>15</v>
      </c>
      <c r="G75">
        <v>2823</v>
      </c>
      <c r="H75">
        <f t="shared" si="4"/>
        <v>42345</v>
      </c>
    </row>
    <row r="76" spans="1:8" x14ac:dyDescent="0.3">
      <c r="A76">
        <v>74</v>
      </c>
      <c r="B76" s="3">
        <v>40186</v>
      </c>
      <c r="C76" t="s">
        <v>11</v>
      </c>
      <c r="D76" t="s">
        <v>17</v>
      </c>
      <c r="E76" t="s">
        <v>20</v>
      </c>
      <c r="F76">
        <v>12</v>
      </c>
      <c r="G76">
        <v>4729</v>
      </c>
      <c r="H76">
        <f t="shared" si="4"/>
        <v>56748</v>
      </c>
    </row>
    <row r="77" spans="1:8" x14ac:dyDescent="0.3">
      <c r="A77">
        <v>75</v>
      </c>
      <c r="B77" s="3">
        <v>40187</v>
      </c>
      <c r="C77" t="s">
        <v>12</v>
      </c>
      <c r="D77" t="s">
        <v>18</v>
      </c>
      <c r="E77" t="s">
        <v>20</v>
      </c>
      <c r="F77">
        <v>12</v>
      </c>
      <c r="G77">
        <v>4007</v>
      </c>
      <c r="H77">
        <f t="shared" si="4"/>
        <v>48084</v>
      </c>
    </row>
    <row r="78" spans="1:8" x14ac:dyDescent="0.3">
      <c r="A78">
        <v>76</v>
      </c>
      <c r="B78" s="3">
        <v>40188</v>
      </c>
      <c r="C78" t="s">
        <v>13</v>
      </c>
      <c r="D78" t="s">
        <v>19</v>
      </c>
      <c r="E78" t="s">
        <v>20</v>
      </c>
      <c r="F78">
        <v>10</v>
      </c>
      <c r="G78">
        <v>3459</v>
      </c>
      <c r="H78">
        <f t="shared" si="4"/>
        <v>34590</v>
      </c>
    </row>
    <row r="79" spans="1:8" x14ac:dyDescent="0.3">
      <c r="A79">
        <v>77</v>
      </c>
      <c r="B79" s="3">
        <v>40179</v>
      </c>
      <c r="C79" t="s">
        <v>11</v>
      </c>
      <c r="D79" t="s">
        <v>15</v>
      </c>
      <c r="E79" t="s">
        <v>21</v>
      </c>
      <c r="F79">
        <v>10</v>
      </c>
      <c r="G79">
        <v>4057</v>
      </c>
      <c r="H79">
        <f>F79*G79</f>
        <v>40570</v>
      </c>
    </row>
    <row r="80" spans="1:8" x14ac:dyDescent="0.3">
      <c r="A80">
        <v>78</v>
      </c>
      <c r="B80" s="3">
        <v>40180</v>
      </c>
      <c r="C80" t="s">
        <v>14</v>
      </c>
      <c r="D80" t="s">
        <v>16</v>
      </c>
      <c r="E80" t="s">
        <v>21</v>
      </c>
      <c r="F80">
        <v>18</v>
      </c>
      <c r="G80">
        <v>3809</v>
      </c>
      <c r="H80">
        <f t="shared" ref="H80:H93" si="5">F80*G80</f>
        <v>68562</v>
      </c>
    </row>
    <row r="81" spans="1:8" x14ac:dyDescent="0.3">
      <c r="A81">
        <v>79</v>
      </c>
      <c r="B81" s="3">
        <v>40181</v>
      </c>
      <c r="C81" t="s">
        <v>10</v>
      </c>
      <c r="D81" t="s">
        <v>17</v>
      </c>
      <c r="E81" t="s">
        <v>21</v>
      </c>
      <c r="F81">
        <v>16</v>
      </c>
      <c r="G81">
        <v>3987</v>
      </c>
      <c r="H81">
        <f t="shared" si="5"/>
        <v>63792</v>
      </c>
    </row>
    <row r="82" spans="1:8" x14ac:dyDescent="0.3">
      <c r="A82">
        <v>80</v>
      </c>
      <c r="B82" s="3">
        <v>40182</v>
      </c>
      <c r="C82" t="s">
        <v>8</v>
      </c>
      <c r="D82" t="s">
        <v>18</v>
      </c>
      <c r="E82" t="s">
        <v>21</v>
      </c>
      <c r="F82">
        <v>10</v>
      </c>
      <c r="G82">
        <v>2346</v>
      </c>
      <c r="H82">
        <f t="shared" si="5"/>
        <v>23460</v>
      </c>
    </row>
    <row r="83" spans="1:8" x14ac:dyDescent="0.3">
      <c r="A83">
        <v>81</v>
      </c>
      <c r="B83" s="3">
        <v>40183</v>
      </c>
      <c r="C83" t="s">
        <v>8</v>
      </c>
      <c r="D83" t="s">
        <v>19</v>
      </c>
      <c r="E83" t="s">
        <v>21</v>
      </c>
      <c r="F83">
        <v>8</v>
      </c>
      <c r="G83">
        <v>4953</v>
      </c>
      <c r="H83">
        <f t="shared" si="5"/>
        <v>39624</v>
      </c>
    </row>
    <row r="84" spans="1:8" x14ac:dyDescent="0.3">
      <c r="A84">
        <v>82</v>
      </c>
      <c r="B84" s="3">
        <v>40184</v>
      </c>
      <c r="C84" t="s">
        <v>11</v>
      </c>
      <c r="D84" t="s">
        <v>15</v>
      </c>
      <c r="E84" t="s">
        <v>21</v>
      </c>
      <c r="F84">
        <v>18</v>
      </c>
      <c r="G84">
        <v>4088</v>
      </c>
      <c r="H84">
        <f t="shared" si="5"/>
        <v>73584</v>
      </c>
    </row>
    <row r="85" spans="1:8" x14ac:dyDescent="0.3">
      <c r="A85">
        <v>83</v>
      </c>
      <c r="B85" s="3">
        <v>40185</v>
      </c>
      <c r="C85" t="s">
        <v>14</v>
      </c>
      <c r="D85" t="s">
        <v>16</v>
      </c>
      <c r="E85" t="s">
        <v>21</v>
      </c>
      <c r="F85">
        <v>15</v>
      </c>
      <c r="G85">
        <v>2531</v>
      </c>
      <c r="H85">
        <f t="shared" si="5"/>
        <v>37965</v>
      </c>
    </row>
    <row r="86" spans="1:8" x14ac:dyDescent="0.3">
      <c r="A86">
        <v>84</v>
      </c>
      <c r="B86" s="3">
        <v>40186</v>
      </c>
      <c r="C86" t="s">
        <v>10</v>
      </c>
      <c r="D86" t="s">
        <v>17</v>
      </c>
      <c r="E86" t="s">
        <v>21</v>
      </c>
      <c r="F86">
        <v>13</v>
      </c>
      <c r="G86">
        <v>4716</v>
      </c>
      <c r="H86">
        <f t="shared" si="5"/>
        <v>61308</v>
      </c>
    </row>
    <row r="87" spans="1:8" x14ac:dyDescent="0.3">
      <c r="A87">
        <v>85</v>
      </c>
      <c r="B87" s="3">
        <v>40187</v>
      </c>
      <c r="C87" t="s">
        <v>8</v>
      </c>
      <c r="D87" t="s">
        <v>18</v>
      </c>
      <c r="E87" t="s">
        <v>21</v>
      </c>
      <c r="F87">
        <v>11</v>
      </c>
      <c r="G87">
        <v>2806</v>
      </c>
      <c r="H87">
        <f t="shared" si="5"/>
        <v>30866</v>
      </c>
    </row>
    <row r="88" spans="1:8" x14ac:dyDescent="0.3">
      <c r="A88">
        <v>86</v>
      </c>
      <c r="B88" s="3">
        <v>40188</v>
      </c>
      <c r="C88" t="s">
        <v>8</v>
      </c>
      <c r="D88" t="s">
        <v>19</v>
      </c>
      <c r="E88" t="s">
        <v>21</v>
      </c>
      <c r="F88">
        <v>5</v>
      </c>
      <c r="G88">
        <v>3350</v>
      </c>
      <c r="H88">
        <f t="shared" si="5"/>
        <v>16750</v>
      </c>
    </row>
    <row r="89" spans="1:8" x14ac:dyDescent="0.3">
      <c r="A89">
        <v>87</v>
      </c>
      <c r="B89" s="3">
        <v>40184</v>
      </c>
      <c r="C89" t="s">
        <v>11</v>
      </c>
      <c r="D89" t="s">
        <v>15</v>
      </c>
      <c r="E89" t="s">
        <v>21</v>
      </c>
      <c r="F89">
        <v>18</v>
      </c>
      <c r="G89">
        <v>4088</v>
      </c>
      <c r="H89">
        <f t="shared" si="5"/>
        <v>73584</v>
      </c>
    </row>
    <row r="90" spans="1:8" x14ac:dyDescent="0.3">
      <c r="A90">
        <v>88</v>
      </c>
      <c r="B90" s="3">
        <v>40185</v>
      </c>
      <c r="C90" t="s">
        <v>14</v>
      </c>
      <c r="D90" t="s">
        <v>16</v>
      </c>
      <c r="E90" t="s">
        <v>21</v>
      </c>
      <c r="F90">
        <v>15</v>
      </c>
      <c r="G90">
        <v>2531</v>
      </c>
      <c r="H90">
        <f t="shared" si="5"/>
        <v>37965</v>
      </c>
    </row>
    <row r="91" spans="1:8" x14ac:dyDescent="0.3">
      <c r="A91">
        <v>89</v>
      </c>
      <c r="B91" s="3">
        <v>40186</v>
      </c>
      <c r="C91" t="s">
        <v>10</v>
      </c>
      <c r="D91" t="s">
        <v>17</v>
      </c>
      <c r="E91" t="s">
        <v>21</v>
      </c>
      <c r="F91">
        <v>13</v>
      </c>
      <c r="G91">
        <v>4716</v>
      </c>
      <c r="H91">
        <f t="shared" si="5"/>
        <v>61308</v>
      </c>
    </row>
    <row r="92" spans="1:8" x14ac:dyDescent="0.3">
      <c r="A92">
        <v>90</v>
      </c>
      <c r="B92" s="3">
        <v>40187</v>
      </c>
      <c r="C92" t="s">
        <v>8</v>
      </c>
      <c r="D92" t="s">
        <v>18</v>
      </c>
      <c r="E92" t="s">
        <v>21</v>
      </c>
      <c r="F92">
        <v>11</v>
      </c>
      <c r="G92">
        <v>2806</v>
      </c>
      <c r="H92">
        <f t="shared" si="5"/>
        <v>30866</v>
      </c>
    </row>
    <row r="93" spans="1:8" x14ac:dyDescent="0.3">
      <c r="A93">
        <v>91</v>
      </c>
      <c r="B93" s="3">
        <v>40188</v>
      </c>
      <c r="C93" t="s">
        <v>8</v>
      </c>
      <c r="D93" t="s">
        <v>19</v>
      </c>
      <c r="E93" t="s">
        <v>21</v>
      </c>
      <c r="F93">
        <v>5</v>
      </c>
      <c r="G93">
        <v>3350</v>
      </c>
      <c r="H93">
        <f t="shared" si="5"/>
        <v>16750</v>
      </c>
    </row>
    <row r="94" spans="1:8" x14ac:dyDescent="0.3">
      <c r="A94">
        <v>92</v>
      </c>
      <c r="B94" s="3">
        <v>40179</v>
      </c>
      <c r="C94" t="s">
        <v>13</v>
      </c>
      <c r="D94" t="s">
        <v>15</v>
      </c>
      <c r="E94" t="s">
        <v>22</v>
      </c>
      <c r="F94">
        <v>5</v>
      </c>
      <c r="G94">
        <v>3270</v>
      </c>
      <c r="H94">
        <f>F94*G94</f>
        <v>16350</v>
      </c>
    </row>
    <row r="95" spans="1:8" x14ac:dyDescent="0.3">
      <c r="A95">
        <v>93</v>
      </c>
      <c r="B95" s="3">
        <v>40180</v>
      </c>
      <c r="C95" t="s">
        <v>12</v>
      </c>
      <c r="D95" t="s">
        <v>16</v>
      </c>
      <c r="E95" t="s">
        <v>22</v>
      </c>
      <c r="F95">
        <v>17</v>
      </c>
      <c r="G95">
        <v>4245</v>
      </c>
      <c r="H95">
        <f t="shared" ref="H95:H109" si="6">F95*G95</f>
        <v>72165</v>
      </c>
    </row>
    <row r="96" spans="1:8" x14ac:dyDescent="0.3">
      <c r="A96">
        <v>94</v>
      </c>
      <c r="B96" s="3">
        <v>40181</v>
      </c>
      <c r="C96" t="s">
        <v>13</v>
      </c>
      <c r="D96" t="s">
        <v>17</v>
      </c>
      <c r="E96" t="s">
        <v>22</v>
      </c>
      <c r="F96">
        <v>5</v>
      </c>
      <c r="G96">
        <v>4864</v>
      </c>
      <c r="H96">
        <f t="shared" si="6"/>
        <v>24320</v>
      </c>
    </row>
    <row r="97" spans="1:8" x14ac:dyDescent="0.3">
      <c r="A97">
        <v>95</v>
      </c>
      <c r="B97" s="3">
        <v>40182</v>
      </c>
      <c r="C97" t="s">
        <v>13</v>
      </c>
      <c r="D97" t="s">
        <v>18</v>
      </c>
      <c r="E97" t="s">
        <v>22</v>
      </c>
      <c r="F97">
        <v>6</v>
      </c>
      <c r="G97">
        <v>2381</v>
      </c>
      <c r="H97">
        <f t="shared" si="6"/>
        <v>14286</v>
      </c>
    </row>
    <row r="98" spans="1:8" x14ac:dyDescent="0.3">
      <c r="A98">
        <v>96</v>
      </c>
      <c r="B98" s="3">
        <v>40183</v>
      </c>
      <c r="C98" t="s">
        <v>11</v>
      </c>
      <c r="D98" t="s">
        <v>19</v>
      </c>
      <c r="E98" t="s">
        <v>22</v>
      </c>
      <c r="F98">
        <v>10</v>
      </c>
      <c r="G98">
        <v>3503</v>
      </c>
      <c r="H98">
        <f t="shared" si="6"/>
        <v>35030</v>
      </c>
    </row>
    <row r="99" spans="1:8" x14ac:dyDescent="0.3">
      <c r="A99">
        <v>97</v>
      </c>
      <c r="B99" s="3">
        <v>40184</v>
      </c>
      <c r="C99" t="s">
        <v>13</v>
      </c>
      <c r="D99" t="s">
        <v>15</v>
      </c>
      <c r="E99" t="s">
        <v>22</v>
      </c>
      <c r="F99">
        <v>5</v>
      </c>
      <c r="G99">
        <v>3176</v>
      </c>
      <c r="H99">
        <f t="shared" si="6"/>
        <v>15880</v>
      </c>
    </row>
    <row r="100" spans="1:8" x14ac:dyDescent="0.3">
      <c r="A100">
        <v>98</v>
      </c>
      <c r="B100" s="3">
        <v>40185</v>
      </c>
      <c r="C100" t="s">
        <v>12</v>
      </c>
      <c r="D100" t="s">
        <v>16</v>
      </c>
      <c r="E100" t="s">
        <v>22</v>
      </c>
      <c r="F100">
        <v>12</v>
      </c>
      <c r="G100">
        <v>4192</v>
      </c>
      <c r="H100">
        <f t="shared" si="6"/>
        <v>50304</v>
      </c>
    </row>
    <row r="101" spans="1:8" x14ac:dyDescent="0.3">
      <c r="A101">
        <v>99</v>
      </c>
      <c r="B101" s="3">
        <v>40186</v>
      </c>
      <c r="C101" t="s">
        <v>13</v>
      </c>
      <c r="D101" t="s">
        <v>17</v>
      </c>
      <c r="E101" t="s">
        <v>22</v>
      </c>
      <c r="F101">
        <v>2</v>
      </c>
      <c r="G101">
        <v>4793</v>
      </c>
      <c r="H101">
        <f t="shared" si="6"/>
        <v>9586</v>
      </c>
    </row>
    <row r="102" spans="1:8" x14ac:dyDescent="0.3">
      <c r="A102">
        <v>100</v>
      </c>
      <c r="B102" s="3">
        <v>40187</v>
      </c>
      <c r="C102" t="s">
        <v>13</v>
      </c>
      <c r="D102" t="s">
        <v>18</v>
      </c>
      <c r="E102" t="s">
        <v>22</v>
      </c>
      <c r="F102">
        <v>5</v>
      </c>
      <c r="G102">
        <v>2204</v>
      </c>
      <c r="H102">
        <f t="shared" si="6"/>
        <v>11020</v>
      </c>
    </row>
    <row r="103" spans="1:8" x14ac:dyDescent="0.3">
      <c r="A103">
        <v>101</v>
      </c>
      <c r="B103" s="3">
        <v>40188</v>
      </c>
      <c r="C103" t="s">
        <v>11</v>
      </c>
      <c r="D103" t="s">
        <v>19</v>
      </c>
      <c r="E103" t="s">
        <v>22</v>
      </c>
      <c r="F103">
        <v>18</v>
      </c>
      <c r="G103">
        <v>4183</v>
      </c>
      <c r="H103">
        <f t="shared" si="6"/>
        <v>75294</v>
      </c>
    </row>
    <row r="104" spans="1:8" x14ac:dyDescent="0.3">
      <c r="A104">
        <v>102</v>
      </c>
      <c r="B104" s="3">
        <v>40183</v>
      </c>
      <c r="C104" t="s">
        <v>11</v>
      </c>
      <c r="D104" t="s">
        <v>19</v>
      </c>
      <c r="E104" t="s">
        <v>22</v>
      </c>
      <c r="F104">
        <v>10</v>
      </c>
      <c r="G104">
        <v>3503</v>
      </c>
      <c r="H104">
        <f t="shared" si="6"/>
        <v>35030</v>
      </c>
    </row>
    <row r="105" spans="1:8" x14ac:dyDescent="0.3">
      <c r="A105">
        <v>103</v>
      </c>
      <c r="B105" s="3">
        <v>40184</v>
      </c>
      <c r="C105" t="s">
        <v>13</v>
      </c>
      <c r="D105" t="s">
        <v>15</v>
      </c>
      <c r="E105" t="s">
        <v>22</v>
      </c>
      <c r="F105">
        <v>5</v>
      </c>
      <c r="G105">
        <v>3176</v>
      </c>
      <c r="H105">
        <f t="shared" si="6"/>
        <v>15880</v>
      </c>
    </row>
    <row r="106" spans="1:8" x14ac:dyDescent="0.3">
      <c r="A106">
        <v>104</v>
      </c>
      <c r="B106" s="3">
        <v>40185</v>
      </c>
      <c r="C106" t="s">
        <v>12</v>
      </c>
      <c r="D106" t="s">
        <v>16</v>
      </c>
      <c r="E106" t="s">
        <v>22</v>
      </c>
      <c r="F106">
        <v>12</v>
      </c>
      <c r="G106">
        <v>4192</v>
      </c>
      <c r="H106">
        <f t="shared" si="6"/>
        <v>50304</v>
      </c>
    </row>
    <row r="107" spans="1:8" x14ac:dyDescent="0.3">
      <c r="A107">
        <v>105</v>
      </c>
      <c r="B107" s="3">
        <v>40186</v>
      </c>
      <c r="C107" t="s">
        <v>13</v>
      </c>
      <c r="D107" t="s">
        <v>17</v>
      </c>
      <c r="E107" t="s">
        <v>22</v>
      </c>
      <c r="F107">
        <v>2</v>
      </c>
      <c r="G107">
        <v>4793</v>
      </c>
      <c r="H107">
        <f t="shared" si="6"/>
        <v>9586</v>
      </c>
    </row>
    <row r="108" spans="1:8" x14ac:dyDescent="0.3">
      <c r="A108">
        <v>106</v>
      </c>
      <c r="B108" s="3">
        <v>40187</v>
      </c>
      <c r="C108" t="s">
        <v>13</v>
      </c>
      <c r="D108" t="s">
        <v>18</v>
      </c>
      <c r="E108" t="s">
        <v>22</v>
      </c>
      <c r="F108">
        <v>5</v>
      </c>
      <c r="G108">
        <v>2204</v>
      </c>
      <c r="H108">
        <f t="shared" si="6"/>
        <v>11020</v>
      </c>
    </row>
    <row r="109" spans="1:8" x14ac:dyDescent="0.3">
      <c r="A109">
        <v>107</v>
      </c>
      <c r="B109" s="3">
        <v>40188</v>
      </c>
      <c r="C109" t="s">
        <v>11</v>
      </c>
      <c r="D109" t="s">
        <v>19</v>
      </c>
      <c r="E109" t="s">
        <v>22</v>
      </c>
      <c r="F109">
        <v>18</v>
      </c>
      <c r="G109">
        <v>4183</v>
      </c>
      <c r="H109">
        <f t="shared" si="6"/>
        <v>75294</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H16"/>
  <sheetViews>
    <sheetView workbookViewId="0">
      <selection sqref="A1:H16"/>
    </sheetView>
  </sheetViews>
  <sheetFormatPr defaultRowHeight="14.4" x14ac:dyDescent="0.3"/>
  <cols>
    <col min="1" max="1" width="9.109375" style="1"/>
    <col min="2" max="2" width="11.109375" style="1" customWidth="1"/>
    <col min="3" max="3" width="14" customWidth="1"/>
    <col min="4" max="4" width="18.88671875" customWidth="1"/>
    <col min="5" max="7" width="9.109375" style="1"/>
    <col min="8" max="8" width="12.5546875" style="1" customWidth="1"/>
  </cols>
  <sheetData>
    <row r="1" spans="1:8" x14ac:dyDescent="0.3">
      <c r="A1" t="s">
        <v>7</v>
      </c>
      <c r="B1" t="s">
        <v>0</v>
      </c>
      <c r="C1" t="s">
        <v>1</v>
      </c>
      <c r="D1" t="s">
        <v>2</v>
      </c>
      <c r="E1" t="s">
        <v>3</v>
      </c>
      <c r="F1" t="s">
        <v>4</v>
      </c>
      <c r="G1" t="s">
        <v>5</v>
      </c>
      <c r="H1" t="s">
        <v>6</v>
      </c>
    </row>
    <row r="2" spans="1:8" x14ac:dyDescent="0.3">
      <c r="A2">
        <v>1</v>
      </c>
      <c r="B2" s="3">
        <v>40179</v>
      </c>
      <c r="C2" t="s">
        <v>10</v>
      </c>
      <c r="D2" t="s">
        <v>15</v>
      </c>
      <c r="E2" t="s">
        <v>9</v>
      </c>
      <c r="F2">
        <v>16</v>
      </c>
      <c r="G2">
        <v>2195</v>
      </c>
      <c r="H2">
        <f>F2*G2</f>
        <v>35120</v>
      </c>
    </row>
    <row r="3" spans="1:8" x14ac:dyDescent="0.3">
      <c r="A3">
        <v>2</v>
      </c>
      <c r="B3" s="3">
        <v>40180</v>
      </c>
      <c r="C3" t="s">
        <v>8</v>
      </c>
      <c r="D3" t="s">
        <v>16</v>
      </c>
      <c r="E3" t="s">
        <v>9</v>
      </c>
      <c r="F3">
        <v>16</v>
      </c>
      <c r="G3">
        <v>3971</v>
      </c>
      <c r="H3">
        <f t="shared" ref="H3:H11" si="0">F3*G3</f>
        <v>63536</v>
      </c>
    </row>
    <row r="4" spans="1:8" x14ac:dyDescent="0.3">
      <c r="A4">
        <v>3</v>
      </c>
      <c r="B4" s="3">
        <v>40181</v>
      </c>
      <c r="C4" t="s">
        <v>12</v>
      </c>
      <c r="D4" t="s">
        <v>17</v>
      </c>
      <c r="E4" t="s">
        <v>9</v>
      </c>
      <c r="F4">
        <v>11</v>
      </c>
      <c r="G4">
        <v>4859</v>
      </c>
      <c r="H4">
        <f t="shared" si="0"/>
        <v>53449</v>
      </c>
    </row>
    <row r="5" spans="1:8" x14ac:dyDescent="0.3">
      <c r="A5">
        <v>4</v>
      </c>
      <c r="B5" s="3">
        <v>40182</v>
      </c>
      <c r="C5" t="s">
        <v>11</v>
      </c>
      <c r="D5" t="s">
        <v>18</v>
      </c>
      <c r="E5" t="s">
        <v>9</v>
      </c>
      <c r="F5">
        <v>16</v>
      </c>
      <c r="G5">
        <v>2055</v>
      </c>
      <c r="H5">
        <f t="shared" si="0"/>
        <v>32880</v>
      </c>
    </row>
    <row r="6" spans="1:8" x14ac:dyDescent="0.3">
      <c r="A6">
        <v>5</v>
      </c>
      <c r="B6" s="3">
        <v>40183</v>
      </c>
      <c r="C6" t="s">
        <v>14</v>
      </c>
      <c r="D6" t="s">
        <v>19</v>
      </c>
      <c r="E6" t="s">
        <v>9</v>
      </c>
      <c r="F6">
        <v>17</v>
      </c>
      <c r="G6">
        <v>3892</v>
      </c>
      <c r="H6">
        <f t="shared" si="0"/>
        <v>66164</v>
      </c>
    </row>
    <row r="7" spans="1:8" x14ac:dyDescent="0.3">
      <c r="A7">
        <v>6</v>
      </c>
      <c r="B7" s="3">
        <v>40184</v>
      </c>
      <c r="C7" t="s">
        <v>10</v>
      </c>
      <c r="D7" t="s">
        <v>15</v>
      </c>
      <c r="E7" t="s">
        <v>9</v>
      </c>
      <c r="F7">
        <v>11</v>
      </c>
      <c r="G7">
        <v>4640</v>
      </c>
      <c r="H7">
        <f t="shared" si="0"/>
        <v>51040</v>
      </c>
    </row>
    <row r="8" spans="1:8" x14ac:dyDescent="0.3">
      <c r="A8">
        <v>7</v>
      </c>
      <c r="B8" s="3">
        <v>40185</v>
      </c>
      <c r="C8" t="s">
        <v>8</v>
      </c>
      <c r="D8" t="s">
        <v>16</v>
      </c>
      <c r="E8" t="s">
        <v>9</v>
      </c>
      <c r="F8">
        <v>16</v>
      </c>
      <c r="G8">
        <v>4610</v>
      </c>
      <c r="H8">
        <f t="shared" si="0"/>
        <v>73760</v>
      </c>
    </row>
    <row r="9" spans="1:8" x14ac:dyDescent="0.3">
      <c r="A9">
        <v>8</v>
      </c>
      <c r="B9" s="3">
        <v>40186</v>
      </c>
      <c r="C9" t="s">
        <v>12</v>
      </c>
      <c r="D9" t="s">
        <v>17</v>
      </c>
      <c r="E9" t="s">
        <v>9</v>
      </c>
      <c r="F9">
        <v>18</v>
      </c>
      <c r="G9">
        <v>2221</v>
      </c>
      <c r="H9">
        <f t="shared" si="0"/>
        <v>39978</v>
      </c>
    </row>
    <row r="10" spans="1:8" x14ac:dyDescent="0.3">
      <c r="A10">
        <v>9</v>
      </c>
      <c r="B10" s="3">
        <v>40187</v>
      </c>
      <c r="C10" t="s">
        <v>11</v>
      </c>
      <c r="D10" t="s">
        <v>18</v>
      </c>
      <c r="E10" t="s">
        <v>9</v>
      </c>
      <c r="F10">
        <v>14</v>
      </c>
      <c r="G10">
        <v>3949</v>
      </c>
      <c r="H10">
        <f t="shared" si="0"/>
        <v>55286</v>
      </c>
    </row>
    <row r="11" spans="1:8" x14ac:dyDescent="0.3">
      <c r="A11">
        <v>10</v>
      </c>
      <c r="B11" s="3">
        <v>40188</v>
      </c>
      <c r="C11" t="s">
        <v>14</v>
      </c>
      <c r="D11" t="s">
        <v>19</v>
      </c>
      <c r="E11" t="s">
        <v>9</v>
      </c>
      <c r="F11">
        <v>14</v>
      </c>
      <c r="G11">
        <v>2943</v>
      </c>
      <c r="H11">
        <f t="shared" si="0"/>
        <v>41202</v>
      </c>
    </row>
    <row r="12" spans="1:8" x14ac:dyDescent="0.3">
      <c r="A12">
        <v>11</v>
      </c>
      <c r="B12" s="3">
        <v>40184</v>
      </c>
      <c r="C12" t="s">
        <v>10</v>
      </c>
      <c r="D12" t="s">
        <v>15</v>
      </c>
      <c r="E12" t="s">
        <v>9</v>
      </c>
      <c r="F12">
        <v>11</v>
      </c>
      <c r="G12">
        <v>4640</v>
      </c>
      <c r="H12">
        <f t="shared" ref="H12:H16" si="1">F12*G12</f>
        <v>51040</v>
      </c>
    </row>
    <row r="13" spans="1:8" x14ac:dyDescent="0.3">
      <c r="A13">
        <v>12</v>
      </c>
      <c r="B13" s="3">
        <v>40185</v>
      </c>
      <c r="C13" t="s">
        <v>8</v>
      </c>
      <c r="D13" t="s">
        <v>16</v>
      </c>
      <c r="E13" t="s">
        <v>9</v>
      </c>
      <c r="F13">
        <v>16</v>
      </c>
      <c r="G13">
        <v>4610</v>
      </c>
      <c r="H13">
        <f t="shared" si="1"/>
        <v>73760</v>
      </c>
    </row>
    <row r="14" spans="1:8" x14ac:dyDescent="0.3">
      <c r="A14">
        <v>13</v>
      </c>
      <c r="B14" s="3">
        <v>40186</v>
      </c>
      <c r="C14" t="s">
        <v>12</v>
      </c>
      <c r="D14" t="s">
        <v>17</v>
      </c>
      <c r="E14" t="s">
        <v>9</v>
      </c>
      <c r="F14">
        <v>18</v>
      </c>
      <c r="G14">
        <v>2221</v>
      </c>
      <c r="H14">
        <f t="shared" si="1"/>
        <v>39978</v>
      </c>
    </row>
    <row r="15" spans="1:8" x14ac:dyDescent="0.3">
      <c r="A15">
        <v>14</v>
      </c>
      <c r="B15" s="3">
        <v>40187</v>
      </c>
      <c r="C15" t="s">
        <v>11</v>
      </c>
      <c r="D15" t="s">
        <v>18</v>
      </c>
      <c r="E15" t="s">
        <v>9</v>
      </c>
      <c r="F15">
        <v>14</v>
      </c>
      <c r="G15">
        <v>3949</v>
      </c>
      <c r="H15">
        <f t="shared" si="1"/>
        <v>55286</v>
      </c>
    </row>
    <row r="16" spans="1:8" x14ac:dyDescent="0.3">
      <c r="A16">
        <v>15</v>
      </c>
      <c r="B16" s="3">
        <v>40188</v>
      </c>
      <c r="C16" t="s">
        <v>14</v>
      </c>
      <c r="D16" t="s">
        <v>19</v>
      </c>
      <c r="E16" t="s">
        <v>9</v>
      </c>
      <c r="F16">
        <v>14</v>
      </c>
      <c r="G16">
        <v>2943</v>
      </c>
      <c r="H16">
        <f t="shared" si="1"/>
        <v>41202</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H16"/>
  <sheetViews>
    <sheetView workbookViewId="0">
      <selection activeCell="A2" sqref="A2:H16"/>
    </sheetView>
  </sheetViews>
  <sheetFormatPr defaultRowHeight="14.4" x14ac:dyDescent="0.3"/>
  <cols>
    <col min="1" max="1" width="9.109375" style="1"/>
    <col min="2" max="2" width="11.109375" style="1" customWidth="1"/>
    <col min="3" max="3" width="14" customWidth="1"/>
    <col min="4" max="4" width="18.88671875" customWidth="1"/>
    <col min="5" max="7" width="9.109375" style="1"/>
    <col min="8" max="8" width="12.5546875" style="1" customWidth="1"/>
  </cols>
  <sheetData>
    <row r="1" spans="1:8" x14ac:dyDescent="0.3">
      <c r="A1" t="s">
        <v>7</v>
      </c>
      <c r="B1" t="s">
        <v>0</v>
      </c>
      <c r="C1" t="s">
        <v>1</v>
      </c>
      <c r="D1" t="s">
        <v>2</v>
      </c>
      <c r="E1" t="s">
        <v>3</v>
      </c>
      <c r="F1" t="s">
        <v>4</v>
      </c>
      <c r="G1" t="s">
        <v>5</v>
      </c>
      <c r="H1" t="s">
        <v>6</v>
      </c>
    </row>
    <row r="2" spans="1:8" x14ac:dyDescent="0.3">
      <c r="A2">
        <v>1</v>
      </c>
      <c r="B2" s="3">
        <v>40179</v>
      </c>
      <c r="C2" t="s">
        <v>8</v>
      </c>
      <c r="D2" t="s">
        <v>15</v>
      </c>
      <c r="E2" t="s">
        <v>20</v>
      </c>
      <c r="F2">
        <v>16</v>
      </c>
      <c r="G2">
        <v>2856</v>
      </c>
      <c r="H2">
        <f>F2*G2</f>
        <v>45696</v>
      </c>
    </row>
    <row r="3" spans="1:8" x14ac:dyDescent="0.3">
      <c r="A3">
        <v>2</v>
      </c>
      <c r="B3" s="3">
        <v>40180</v>
      </c>
      <c r="C3" t="s">
        <v>10</v>
      </c>
      <c r="D3" t="s">
        <v>16</v>
      </c>
      <c r="E3" t="s">
        <v>20</v>
      </c>
      <c r="F3">
        <v>13</v>
      </c>
      <c r="G3">
        <v>2722</v>
      </c>
      <c r="H3">
        <f t="shared" ref="H3:H11" si="0">F3*G3</f>
        <v>35386</v>
      </c>
    </row>
    <row r="4" spans="1:8" x14ac:dyDescent="0.3">
      <c r="A4">
        <v>3</v>
      </c>
      <c r="B4" s="3">
        <v>40181</v>
      </c>
      <c r="C4" t="s">
        <v>11</v>
      </c>
      <c r="D4" t="s">
        <v>17</v>
      </c>
      <c r="E4" t="s">
        <v>20</v>
      </c>
      <c r="F4">
        <v>18</v>
      </c>
      <c r="G4">
        <v>2900</v>
      </c>
      <c r="H4">
        <f t="shared" si="0"/>
        <v>52200</v>
      </c>
    </row>
    <row r="5" spans="1:8" x14ac:dyDescent="0.3">
      <c r="A5">
        <v>4</v>
      </c>
      <c r="B5" s="3">
        <v>40182</v>
      </c>
      <c r="C5" t="s">
        <v>12</v>
      </c>
      <c r="D5" t="s">
        <v>18</v>
      </c>
      <c r="E5" t="s">
        <v>20</v>
      </c>
      <c r="F5">
        <v>13</v>
      </c>
      <c r="G5">
        <v>2236</v>
      </c>
      <c r="H5">
        <f t="shared" si="0"/>
        <v>29068</v>
      </c>
    </row>
    <row r="6" spans="1:8" x14ac:dyDescent="0.3">
      <c r="A6">
        <v>5</v>
      </c>
      <c r="B6" s="3">
        <v>40183</v>
      </c>
      <c r="C6" t="s">
        <v>13</v>
      </c>
      <c r="D6" t="s">
        <v>19</v>
      </c>
      <c r="E6" t="s">
        <v>20</v>
      </c>
      <c r="F6">
        <v>10</v>
      </c>
      <c r="G6">
        <v>4569</v>
      </c>
      <c r="H6">
        <f t="shared" si="0"/>
        <v>45690</v>
      </c>
    </row>
    <row r="7" spans="1:8" x14ac:dyDescent="0.3">
      <c r="A7">
        <v>6</v>
      </c>
      <c r="B7" s="3">
        <v>40184</v>
      </c>
      <c r="C7" t="s">
        <v>8</v>
      </c>
      <c r="D7" t="s">
        <v>15</v>
      </c>
      <c r="E7" t="s">
        <v>20</v>
      </c>
      <c r="F7">
        <v>11</v>
      </c>
      <c r="G7">
        <v>3782</v>
      </c>
      <c r="H7">
        <f t="shared" si="0"/>
        <v>41602</v>
      </c>
    </row>
    <row r="8" spans="1:8" x14ac:dyDescent="0.3">
      <c r="A8">
        <v>7</v>
      </c>
      <c r="B8" s="3">
        <v>40185</v>
      </c>
      <c r="C8" t="s">
        <v>10</v>
      </c>
      <c r="D8" t="s">
        <v>16</v>
      </c>
      <c r="E8" t="s">
        <v>20</v>
      </c>
      <c r="F8">
        <v>15</v>
      </c>
      <c r="G8">
        <v>2823</v>
      </c>
      <c r="H8">
        <f t="shared" si="0"/>
        <v>42345</v>
      </c>
    </row>
    <row r="9" spans="1:8" x14ac:dyDescent="0.3">
      <c r="A9">
        <v>8</v>
      </c>
      <c r="B9" s="3">
        <v>40186</v>
      </c>
      <c r="C9" t="s">
        <v>11</v>
      </c>
      <c r="D9" t="s">
        <v>17</v>
      </c>
      <c r="E9" t="s">
        <v>20</v>
      </c>
      <c r="F9">
        <v>12</v>
      </c>
      <c r="G9">
        <v>4729</v>
      </c>
      <c r="H9">
        <f t="shared" si="0"/>
        <v>56748</v>
      </c>
    </row>
    <row r="10" spans="1:8" x14ac:dyDescent="0.3">
      <c r="A10">
        <v>9</v>
      </c>
      <c r="B10" s="3">
        <v>40187</v>
      </c>
      <c r="C10" t="s">
        <v>12</v>
      </c>
      <c r="D10" t="s">
        <v>18</v>
      </c>
      <c r="E10" t="s">
        <v>20</v>
      </c>
      <c r="F10">
        <v>12</v>
      </c>
      <c r="G10">
        <v>4007</v>
      </c>
      <c r="H10">
        <f t="shared" si="0"/>
        <v>48084</v>
      </c>
    </row>
    <row r="11" spans="1:8" x14ac:dyDescent="0.3">
      <c r="A11">
        <v>10</v>
      </c>
      <c r="B11" s="3">
        <v>40188</v>
      </c>
      <c r="C11" t="s">
        <v>13</v>
      </c>
      <c r="D11" t="s">
        <v>19</v>
      </c>
      <c r="E11" t="s">
        <v>20</v>
      </c>
      <c r="F11">
        <v>10</v>
      </c>
      <c r="G11">
        <v>3459</v>
      </c>
      <c r="H11">
        <f t="shared" si="0"/>
        <v>34590</v>
      </c>
    </row>
    <row r="12" spans="1:8" x14ac:dyDescent="0.3">
      <c r="A12">
        <v>11</v>
      </c>
      <c r="B12" s="3">
        <v>40184</v>
      </c>
      <c r="C12" t="s">
        <v>8</v>
      </c>
      <c r="D12" t="s">
        <v>15</v>
      </c>
      <c r="E12" t="s">
        <v>20</v>
      </c>
      <c r="F12">
        <v>11</v>
      </c>
      <c r="G12">
        <v>3782</v>
      </c>
      <c r="H12">
        <f t="shared" ref="H12:H16" si="1">F12*G12</f>
        <v>41602</v>
      </c>
    </row>
    <row r="13" spans="1:8" x14ac:dyDescent="0.3">
      <c r="A13">
        <v>12</v>
      </c>
      <c r="B13" s="3">
        <v>40185</v>
      </c>
      <c r="C13" t="s">
        <v>10</v>
      </c>
      <c r="D13" t="s">
        <v>16</v>
      </c>
      <c r="E13" t="s">
        <v>20</v>
      </c>
      <c r="F13">
        <v>15</v>
      </c>
      <c r="G13">
        <v>2823</v>
      </c>
      <c r="H13">
        <f t="shared" si="1"/>
        <v>42345</v>
      </c>
    </row>
    <row r="14" spans="1:8" x14ac:dyDescent="0.3">
      <c r="A14">
        <v>13</v>
      </c>
      <c r="B14" s="3">
        <v>40186</v>
      </c>
      <c r="C14" t="s">
        <v>11</v>
      </c>
      <c r="D14" t="s">
        <v>17</v>
      </c>
      <c r="E14" t="s">
        <v>20</v>
      </c>
      <c r="F14">
        <v>12</v>
      </c>
      <c r="G14">
        <v>4729</v>
      </c>
      <c r="H14">
        <f t="shared" si="1"/>
        <v>56748</v>
      </c>
    </row>
    <row r="15" spans="1:8" x14ac:dyDescent="0.3">
      <c r="A15">
        <v>14</v>
      </c>
      <c r="B15" s="3">
        <v>40187</v>
      </c>
      <c r="C15" t="s">
        <v>12</v>
      </c>
      <c r="D15" t="s">
        <v>18</v>
      </c>
      <c r="E15" t="s">
        <v>20</v>
      </c>
      <c r="F15">
        <v>12</v>
      </c>
      <c r="G15">
        <v>4007</v>
      </c>
      <c r="H15">
        <f t="shared" si="1"/>
        <v>48084</v>
      </c>
    </row>
    <row r="16" spans="1:8" x14ac:dyDescent="0.3">
      <c r="A16">
        <v>15</v>
      </c>
      <c r="B16" s="3">
        <v>40188</v>
      </c>
      <c r="C16" t="s">
        <v>13</v>
      </c>
      <c r="D16" t="s">
        <v>19</v>
      </c>
      <c r="E16" t="s">
        <v>20</v>
      </c>
      <c r="F16">
        <v>10</v>
      </c>
      <c r="G16">
        <v>3459</v>
      </c>
      <c r="H16">
        <f t="shared" si="1"/>
        <v>34590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H16"/>
  <sheetViews>
    <sheetView workbookViewId="0">
      <selection activeCell="A2" sqref="A2:H16"/>
    </sheetView>
  </sheetViews>
  <sheetFormatPr defaultRowHeight="14.4" x14ac:dyDescent="0.3"/>
  <cols>
    <col min="1" max="1" width="9.109375" style="1"/>
    <col min="2" max="2" width="11.109375" style="1" customWidth="1"/>
    <col min="3" max="3" width="14" customWidth="1"/>
    <col min="4" max="4" width="18.88671875" customWidth="1"/>
    <col min="5" max="7" width="9.109375" style="1"/>
    <col min="8" max="8" width="12.5546875" style="1" customWidth="1"/>
  </cols>
  <sheetData>
    <row r="1" spans="1:8" x14ac:dyDescent="0.3">
      <c r="A1" t="s">
        <v>7</v>
      </c>
      <c r="B1" t="s">
        <v>0</v>
      </c>
      <c r="C1" t="s">
        <v>1</v>
      </c>
      <c r="D1" t="s">
        <v>2</v>
      </c>
      <c r="E1" t="s">
        <v>3</v>
      </c>
      <c r="F1" t="s">
        <v>4</v>
      </c>
      <c r="G1" t="s">
        <v>5</v>
      </c>
      <c r="H1" t="s">
        <v>6</v>
      </c>
    </row>
    <row r="2" spans="1:8" x14ac:dyDescent="0.3">
      <c r="A2">
        <v>1</v>
      </c>
      <c r="B2" s="3">
        <v>40179</v>
      </c>
      <c r="C2" t="s">
        <v>11</v>
      </c>
      <c r="D2" t="s">
        <v>15</v>
      </c>
      <c r="E2" t="s">
        <v>21</v>
      </c>
      <c r="F2">
        <v>10</v>
      </c>
      <c r="G2">
        <v>4057</v>
      </c>
      <c r="H2">
        <f>F2*G2</f>
        <v>40570</v>
      </c>
    </row>
    <row r="3" spans="1:8" x14ac:dyDescent="0.3">
      <c r="A3">
        <v>2</v>
      </c>
      <c r="B3" s="3">
        <v>40180</v>
      </c>
      <c r="C3" t="s">
        <v>14</v>
      </c>
      <c r="D3" t="s">
        <v>16</v>
      </c>
      <c r="E3" t="s">
        <v>21</v>
      </c>
      <c r="F3">
        <v>18</v>
      </c>
      <c r="G3">
        <v>3809</v>
      </c>
      <c r="H3">
        <f t="shared" ref="H3:H11" si="0">F3*G3</f>
        <v>68562</v>
      </c>
    </row>
    <row r="4" spans="1:8" x14ac:dyDescent="0.3">
      <c r="A4">
        <v>3</v>
      </c>
      <c r="B4" s="3">
        <v>40181</v>
      </c>
      <c r="C4" t="s">
        <v>10</v>
      </c>
      <c r="D4" t="s">
        <v>17</v>
      </c>
      <c r="E4" t="s">
        <v>21</v>
      </c>
      <c r="F4">
        <v>16</v>
      </c>
      <c r="G4">
        <v>3987</v>
      </c>
      <c r="H4">
        <f t="shared" si="0"/>
        <v>63792</v>
      </c>
    </row>
    <row r="5" spans="1:8" x14ac:dyDescent="0.3">
      <c r="A5">
        <v>4</v>
      </c>
      <c r="B5" s="3">
        <v>40182</v>
      </c>
      <c r="C5" t="s">
        <v>8</v>
      </c>
      <c r="D5" t="s">
        <v>18</v>
      </c>
      <c r="E5" t="s">
        <v>21</v>
      </c>
      <c r="F5">
        <v>10</v>
      </c>
      <c r="G5">
        <v>2346</v>
      </c>
      <c r="H5">
        <f t="shared" si="0"/>
        <v>23460</v>
      </c>
    </row>
    <row r="6" spans="1:8" x14ac:dyDescent="0.3">
      <c r="A6">
        <v>5</v>
      </c>
      <c r="B6" s="3">
        <v>40183</v>
      </c>
      <c r="C6" t="s">
        <v>8</v>
      </c>
      <c r="D6" t="s">
        <v>19</v>
      </c>
      <c r="E6" t="s">
        <v>21</v>
      </c>
      <c r="F6">
        <v>8</v>
      </c>
      <c r="G6">
        <v>4953</v>
      </c>
      <c r="H6">
        <f t="shared" si="0"/>
        <v>39624</v>
      </c>
    </row>
    <row r="7" spans="1:8" x14ac:dyDescent="0.3">
      <c r="A7">
        <v>6</v>
      </c>
      <c r="B7" s="3">
        <v>40184</v>
      </c>
      <c r="C7" t="s">
        <v>11</v>
      </c>
      <c r="D7" t="s">
        <v>15</v>
      </c>
      <c r="E7" t="s">
        <v>21</v>
      </c>
      <c r="F7">
        <v>18</v>
      </c>
      <c r="G7">
        <v>4088</v>
      </c>
      <c r="H7">
        <f t="shared" si="0"/>
        <v>73584</v>
      </c>
    </row>
    <row r="8" spans="1:8" x14ac:dyDescent="0.3">
      <c r="A8">
        <v>7</v>
      </c>
      <c r="B8" s="3">
        <v>40185</v>
      </c>
      <c r="C8" t="s">
        <v>14</v>
      </c>
      <c r="D8" t="s">
        <v>16</v>
      </c>
      <c r="E8" t="s">
        <v>21</v>
      </c>
      <c r="F8">
        <v>15</v>
      </c>
      <c r="G8">
        <v>2531</v>
      </c>
      <c r="H8">
        <f t="shared" si="0"/>
        <v>37965</v>
      </c>
    </row>
    <row r="9" spans="1:8" x14ac:dyDescent="0.3">
      <c r="A9">
        <v>8</v>
      </c>
      <c r="B9" s="3">
        <v>40186</v>
      </c>
      <c r="C9" t="s">
        <v>10</v>
      </c>
      <c r="D9" t="s">
        <v>17</v>
      </c>
      <c r="E9" t="s">
        <v>21</v>
      </c>
      <c r="F9">
        <v>13</v>
      </c>
      <c r="G9">
        <v>4716</v>
      </c>
      <c r="H9">
        <f t="shared" si="0"/>
        <v>61308</v>
      </c>
    </row>
    <row r="10" spans="1:8" x14ac:dyDescent="0.3">
      <c r="A10">
        <v>9</v>
      </c>
      <c r="B10" s="3">
        <v>40187</v>
      </c>
      <c r="C10" t="s">
        <v>8</v>
      </c>
      <c r="D10" t="s">
        <v>18</v>
      </c>
      <c r="E10" t="s">
        <v>21</v>
      </c>
      <c r="F10">
        <v>11</v>
      </c>
      <c r="G10">
        <v>2806</v>
      </c>
      <c r="H10">
        <f t="shared" si="0"/>
        <v>30866</v>
      </c>
    </row>
    <row r="11" spans="1:8" x14ac:dyDescent="0.3">
      <c r="A11">
        <v>10</v>
      </c>
      <c r="B11" s="3">
        <v>40188</v>
      </c>
      <c r="C11" t="s">
        <v>8</v>
      </c>
      <c r="D11" t="s">
        <v>19</v>
      </c>
      <c r="E11" t="s">
        <v>21</v>
      </c>
      <c r="F11">
        <v>5</v>
      </c>
      <c r="G11">
        <v>3350</v>
      </c>
      <c r="H11">
        <f t="shared" si="0"/>
        <v>16750</v>
      </c>
    </row>
    <row r="12" spans="1:8" x14ac:dyDescent="0.3">
      <c r="A12">
        <v>11</v>
      </c>
      <c r="B12" s="3">
        <v>40184</v>
      </c>
      <c r="C12" t="s">
        <v>11</v>
      </c>
      <c r="D12" t="s">
        <v>15</v>
      </c>
      <c r="E12" t="s">
        <v>21</v>
      </c>
      <c r="F12">
        <v>18</v>
      </c>
      <c r="G12">
        <v>4088</v>
      </c>
      <c r="H12">
        <f t="shared" ref="H12:H16" si="1">F12*G12</f>
        <v>73584</v>
      </c>
    </row>
    <row r="13" spans="1:8" x14ac:dyDescent="0.3">
      <c r="A13">
        <v>12</v>
      </c>
      <c r="B13" s="3">
        <v>40185</v>
      </c>
      <c r="C13" t="s">
        <v>14</v>
      </c>
      <c r="D13" t="s">
        <v>16</v>
      </c>
      <c r="E13" t="s">
        <v>21</v>
      </c>
      <c r="F13">
        <v>15</v>
      </c>
      <c r="G13">
        <v>2531</v>
      </c>
      <c r="H13">
        <f t="shared" si="1"/>
        <v>37965</v>
      </c>
    </row>
    <row r="14" spans="1:8" x14ac:dyDescent="0.3">
      <c r="A14">
        <v>13</v>
      </c>
      <c r="B14" s="3">
        <v>40186</v>
      </c>
      <c r="C14" t="s">
        <v>10</v>
      </c>
      <c r="D14" t="s">
        <v>17</v>
      </c>
      <c r="E14" t="s">
        <v>21</v>
      </c>
      <c r="F14">
        <v>13</v>
      </c>
      <c r="G14">
        <v>4716</v>
      </c>
      <c r="H14">
        <f t="shared" si="1"/>
        <v>61308</v>
      </c>
    </row>
    <row r="15" spans="1:8" x14ac:dyDescent="0.3">
      <c r="A15">
        <v>14</v>
      </c>
      <c r="B15" s="3">
        <v>40187</v>
      </c>
      <c r="C15" t="s">
        <v>8</v>
      </c>
      <c r="D15" t="s">
        <v>18</v>
      </c>
      <c r="E15" t="s">
        <v>21</v>
      </c>
      <c r="F15">
        <v>11</v>
      </c>
      <c r="G15">
        <v>2806</v>
      </c>
      <c r="H15">
        <f t="shared" si="1"/>
        <v>30866</v>
      </c>
    </row>
    <row r="16" spans="1:8" x14ac:dyDescent="0.3">
      <c r="A16">
        <v>15</v>
      </c>
      <c r="B16" s="3">
        <v>40188</v>
      </c>
      <c r="C16" t="s">
        <v>8</v>
      </c>
      <c r="D16" t="s">
        <v>19</v>
      </c>
      <c r="E16" t="s">
        <v>21</v>
      </c>
      <c r="F16">
        <v>5</v>
      </c>
      <c r="G16">
        <v>3350</v>
      </c>
      <c r="H16">
        <f t="shared" si="1"/>
        <v>16750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H17"/>
  <sheetViews>
    <sheetView workbookViewId="0">
      <selection activeCell="F24" sqref="F24"/>
    </sheetView>
  </sheetViews>
  <sheetFormatPr defaultRowHeight="14.4" x14ac:dyDescent="0.3"/>
  <cols>
    <col min="1" max="1" width="9.109375" style="1"/>
    <col min="2" max="2" width="11.109375" style="1" customWidth="1"/>
    <col min="3" max="3" width="14" customWidth="1"/>
    <col min="4" max="4" width="18.88671875" customWidth="1"/>
    <col min="5" max="7" width="9.109375" style="1"/>
    <col min="8" max="8" width="12.5546875" style="1" customWidth="1"/>
  </cols>
  <sheetData>
    <row r="1" spans="1:8" x14ac:dyDescent="0.3">
      <c r="A1" s="2" t="s">
        <v>7</v>
      </c>
      <c r="B1" s="2" t="s">
        <v>0</v>
      </c>
      <c r="C1" s="2" t="s">
        <v>1</v>
      </c>
      <c r="D1" s="2" t="s">
        <v>2</v>
      </c>
      <c r="E1" s="2" t="s">
        <v>3</v>
      </c>
      <c r="F1" s="2" t="s">
        <v>4</v>
      </c>
      <c r="G1" s="2" t="s">
        <v>5</v>
      </c>
      <c r="H1" s="2" t="s">
        <v>6</v>
      </c>
    </row>
    <row r="2" spans="1:8" x14ac:dyDescent="0.3">
      <c r="A2">
        <v>1</v>
      </c>
      <c r="B2" s="3">
        <v>40179</v>
      </c>
      <c r="C2" t="s">
        <v>13</v>
      </c>
      <c r="D2" t="s">
        <v>15</v>
      </c>
      <c r="E2" t="s">
        <v>22</v>
      </c>
      <c r="F2">
        <v>5</v>
      </c>
      <c r="G2">
        <v>3270</v>
      </c>
      <c r="H2">
        <f>F2*G2</f>
        <v>16350</v>
      </c>
    </row>
    <row r="3" spans="1:8" x14ac:dyDescent="0.3">
      <c r="A3">
        <v>2</v>
      </c>
      <c r="B3" s="3">
        <v>40180</v>
      </c>
      <c r="C3" t="s">
        <v>12</v>
      </c>
      <c r="D3" t="s">
        <v>16</v>
      </c>
      <c r="E3" t="s">
        <v>22</v>
      </c>
      <c r="F3">
        <v>17</v>
      </c>
      <c r="G3">
        <v>4245</v>
      </c>
      <c r="H3">
        <f t="shared" ref="H3:H11" si="0">F3*G3</f>
        <v>72165</v>
      </c>
    </row>
    <row r="4" spans="1:8" x14ac:dyDescent="0.3">
      <c r="A4">
        <v>3</v>
      </c>
      <c r="B4" s="3">
        <v>40181</v>
      </c>
      <c r="C4" t="s">
        <v>13</v>
      </c>
      <c r="D4" t="s">
        <v>17</v>
      </c>
      <c r="E4" t="s">
        <v>22</v>
      </c>
      <c r="F4">
        <v>5</v>
      </c>
      <c r="G4">
        <v>4864</v>
      </c>
      <c r="H4">
        <f t="shared" si="0"/>
        <v>24320</v>
      </c>
    </row>
    <row r="5" spans="1:8" x14ac:dyDescent="0.3">
      <c r="A5">
        <v>4</v>
      </c>
      <c r="B5" s="3">
        <v>40182</v>
      </c>
      <c r="C5" t="s">
        <v>13</v>
      </c>
      <c r="D5" t="s">
        <v>18</v>
      </c>
      <c r="E5" t="s">
        <v>22</v>
      </c>
      <c r="F5">
        <v>6</v>
      </c>
      <c r="G5">
        <v>2381</v>
      </c>
      <c r="H5">
        <f t="shared" si="0"/>
        <v>14286</v>
      </c>
    </row>
    <row r="6" spans="1:8" x14ac:dyDescent="0.3">
      <c r="A6">
        <v>5</v>
      </c>
      <c r="B6" s="3">
        <v>40183</v>
      </c>
      <c r="C6" t="s">
        <v>11</v>
      </c>
      <c r="D6" t="s">
        <v>19</v>
      </c>
      <c r="E6" t="s">
        <v>22</v>
      </c>
      <c r="F6">
        <v>10</v>
      </c>
      <c r="G6">
        <v>3503</v>
      </c>
      <c r="H6">
        <f t="shared" si="0"/>
        <v>35030</v>
      </c>
    </row>
    <row r="7" spans="1:8" x14ac:dyDescent="0.3">
      <c r="A7">
        <v>6</v>
      </c>
      <c r="B7" s="3">
        <v>40184</v>
      </c>
      <c r="C7" t="s">
        <v>13</v>
      </c>
      <c r="D7" t="s">
        <v>15</v>
      </c>
      <c r="E7" t="s">
        <v>22</v>
      </c>
      <c r="F7">
        <v>5</v>
      </c>
      <c r="G7">
        <v>3176</v>
      </c>
      <c r="H7">
        <f t="shared" si="0"/>
        <v>15880</v>
      </c>
    </row>
    <row r="8" spans="1:8" x14ac:dyDescent="0.3">
      <c r="A8">
        <v>7</v>
      </c>
      <c r="B8" s="3">
        <v>40185</v>
      </c>
      <c r="C8" t="s">
        <v>12</v>
      </c>
      <c r="D8" t="s">
        <v>16</v>
      </c>
      <c r="E8" t="s">
        <v>22</v>
      </c>
      <c r="F8">
        <v>12</v>
      </c>
      <c r="G8">
        <v>4192</v>
      </c>
      <c r="H8">
        <f t="shared" si="0"/>
        <v>50304</v>
      </c>
    </row>
    <row r="9" spans="1:8" x14ac:dyDescent="0.3">
      <c r="A9">
        <v>8</v>
      </c>
      <c r="B9" s="3">
        <v>40186</v>
      </c>
      <c r="C9" t="s">
        <v>13</v>
      </c>
      <c r="D9" t="s">
        <v>17</v>
      </c>
      <c r="E9" t="s">
        <v>22</v>
      </c>
      <c r="F9">
        <v>2</v>
      </c>
      <c r="G9">
        <v>4793</v>
      </c>
      <c r="H9">
        <f t="shared" si="0"/>
        <v>9586</v>
      </c>
    </row>
    <row r="10" spans="1:8" x14ac:dyDescent="0.3">
      <c r="A10">
        <v>9</v>
      </c>
      <c r="B10" s="3">
        <v>40187</v>
      </c>
      <c r="C10" t="s">
        <v>13</v>
      </c>
      <c r="D10" t="s">
        <v>18</v>
      </c>
      <c r="E10" t="s">
        <v>22</v>
      </c>
      <c r="F10">
        <v>5</v>
      </c>
      <c r="G10">
        <v>2204</v>
      </c>
      <c r="H10">
        <f t="shared" si="0"/>
        <v>11020</v>
      </c>
    </row>
    <row r="11" spans="1:8" x14ac:dyDescent="0.3">
      <c r="A11">
        <v>10</v>
      </c>
      <c r="B11" s="3">
        <v>40188</v>
      </c>
      <c r="C11" t="s">
        <v>11</v>
      </c>
      <c r="D11" t="s">
        <v>19</v>
      </c>
      <c r="E11" t="s">
        <v>22</v>
      </c>
      <c r="F11">
        <v>18</v>
      </c>
      <c r="G11">
        <v>4183</v>
      </c>
      <c r="H11">
        <f t="shared" si="0"/>
        <v>75294</v>
      </c>
    </row>
    <row r="12" spans="1:8" x14ac:dyDescent="0.3">
      <c r="A12">
        <v>11</v>
      </c>
      <c r="B12" s="3">
        <v>40183</v>
      </c>
      <c r="C12" t="s">
        <v>11</v>
      </c>
      <c r="D12" t="s">
        <v>19</v>
      </c>
      <c r="E12" t="s">
        <v>22</v>
      </c>
      <c r="F12">
        <v>10</v>
      </c>
      <c r="G12">
        <v>3503</v>
      </c>
      <c r="H12">
        <f t="shared" ref="H12:H17" si="1">F12*G12</f>
        <v>35030</v>
      </c>
    </row>
    <row r="13" spans="1:8" x14ac:dyDescent="0.3">
      <c r="A13">
        <v>12</v>
      </c>
      <c r="B13" s="3">
        <v>40184</v>
      </c>
      <c r="C13" t="s">
        <v>13</v>
      </c>
      <c r="D13" t="s">
        <v>15</v>
      </c>
      <c r="E13" t="s">
        <v>22</v>
      </c>
      <c r="F13">
        <v>5</v>
      </c>
      <c r="G13">
        <v>3176</v>
      </c>
      <c r="H13">
        <f t="shared" si="1"/>
        <v>15880</v>
      </c>
    </row>
    <row r="14" spans="1:8" x14ac:dyDescent="0.3">
      <c r="A14">
        <v>13</v>
      </c>
      <c r="B14" s="3">
        <v>40185</v>
      </c>
      <c r="C14" t="s">
        <v>12</v>
      </c>
      <c r="D14" t="s">
        <v>16</v>
      </c>
      <c r="E14" t="s">
        <v>22</v>
      </c>
      <c r="F14">
        <v>12</v>
      </c>
      <c r="G14">
        <v>4192</v>
      </c>
      <c r="H14">
        <f t="shared" si="1"/>
        <v>50304</v>
      </c>
    </row>
    <row r="15" spans="1:8" x14ac:dyDescent="0.3">
      <c r="A15">
        <v>14</v>
      </c>
      <c r="B15" s="3">
        <v>40186</v>
      </c>
      <c r="C15" t="s">
        <v>13</v>
      </c>
      <c r="D15" t="s">
        <v>17</v>
      </c>
      <c r="E15" t="s">
        <v>22</v>
      </c>
      <c r="F15">
        <v>2</v>
      </c>
      <c r="G15">
        <v>4793</v>
      </c>
      <c r="H15">
        <f t="shared" si="1"/>
        <v>9586</v>
      </c>
    </row>
    <row r="16" spans="1:8" x14ac:dyDescent="0.3">
      <c r="A16">
        <v>15</v>
      </c>
      <c r="B16" s="3">
        <v>40187</v>
      </c>
      <c r="C16" t="s">
        <v>13</v>
      </c>
      <c r="D16" t="s">
        <v>18</v>
      </c>
      <c r="E16" t="s">
        <v>22</v>
      </c>
      <c r="F16">
        <v>5</v>
      </c>
      <c r="G16">
        <v>2204</v>
      </c>
      <c r="H16">
        <f t="shared" si="1"/>
        <v>11020</v>
      </c>
    </row>
    <row r="17" spans="1:8" x14ac:dyDescent="0.3">
      <c r="A17">
        <v>16</v>
      </c>
      <c r="B17" s="3">
        <v>40188</v>
      </c>
      <c r="C17" t="s">
        <v>11</v>
      </c>
      <c r="D17" t="s">
        <v>19</v>
      </c>
      <c r="E17" t="s">
        <v>22</v>
      </c>
      <c r="F17">
        <v>18</v>
      </c>
      <c r="G17">
        <v>4183</v>
      </c>
      <c r="H17">
        <f t="shared" si="1"/>
        <v>75294</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G21"/>
  <sheetViews>
    <sheetView showGridLines="0" workbookViewId="0"/>
  </sheetViews>
  <sheetFormatPr defaultRowHeight="14.4" x14ac:dyDescent="0.3"/>
  <cols>
    <col min="1" max="1" width="9.109375" style="1"/>
    <col min="2" max="2" width="7.88671875" bestFit="1" customWidth="1"/>
    <col min="3" max="4" width="9.5546875" bestFit="1" customWidth="1"/>
  </cols>
  <sheetData>
    <row r="2" spans="1:4" x14ac:dyDescent="0.3">
      <c r="B2" t="s">
        <v>25</v>
      </c>
    </row>
    <row r="3" spans="1:4" x14ac:dyDescent="0.3">
      <c r="B3" t="s">
        <v>26</v>
      </c>
    </row>
    <row r="4" spans="1:4" x14ac:dyDescent="0.3">
      <c r="B4" t="s">
        <v>27</v>
      </c>
    </row>
    <row r="5" spans="1:4" x14ac:dyDescent="0.3">
      <c r="B5" t="s">
        <v>28</v>
      </c>
    </row>
    <row r="6" spans="1:4" x14ac:dyDescent="0.3">
      <c r="B6" t="s">
        <v>35</v>
      </c>
    </row>
    <row r="7" spans="1:4" x14ac:dyDescent="0.3">
      <c r="B7" t="s">
        <v>36</v>
      </c>
    </row>
    <row r="8" spans="1:4" x14ac:dyDescent="0.3">
      <c r="B8" t="s">
        <v>37</v>
      </c>
    </row>
    <row r="9" spans="1:4" x14ac:dyDescent="0.3">
      <c r="B9" t="s">
        <v>29</v>
      </c>
    </row>
    <row r="10" spans="1:4" ht="15.6" x14ac:dyDescent="0.3">
      <c r="B10" s="6" t="s">
        <v>38</v>
      </c>
      <c r="C10" s="6"/>
    </row>
    <row r="11" spans="1:4" ht="15.6" x14ac:dyDescent="0.3">
      <c r="B11" s="6" t="s">
        <v>39</v>
      </c>
      <c r="C11" s="6"/>
    </row>
    <row r="12" spans="1:4" ht="15.6" x14ac:dyDescent="0.3">
      <c r="B12" s="6"/>
      <c r="C12" s="6"/>
    </row>
    <row r="13" spans="1:4" ht="15.6" x14ac:dyDescent="0.3">
      <c r="B13" s="10" t="s">
        <v>34</v>
      </c>
      <c r="C13" s="6"/>
    </row>
    <row r="15" spans="1:4" x14ac:dyDescent="0.3">
      <c r="A15" s="1">
        <v>1</v>
      </c>
      <c r="B15" s="7" t="s">
        <v>3</v>
      </c>
      <c r="C15" s="7" t="s">
        <v>23</v>
      </c>
      <c r="D15" s="8"/>
    </row>
    <row r="16" spans="1:4" x14ac:dyDescent="0.3">
      <c r="A16" s="1">
        <v>2</v>
      </c>
      <c r="B16" s="9" t="s">
        <v>1</v>
      </c>
      <c r="C16" s="7" t="s">
        <v>23</v>
      </c>
      <c r="D16" s="8"/>
    </row>
    <row r="17" spans="1:7" x14ac:dyDescent="0.3">
      <c r="A17" s="1">
        <v>3</v>
      </c>
      <c r="B17" s="7" t="s">
        <v>3</v>
      </c>
      <c r="C17" s="9" t="s">
        <v>1</v>
      </c>
      <c r="D17" s="7" t="s">
        <v>4</v>
      </c>
    </row>
    <row r="18" spans="1:7" x14ac:dyDescent="0.3">
      <c r="A18" s="1">
        <v>4</v>
      </c>
      <c r="B18" s="9" t="s">
        <v>0</v>
      </c>
      <c r="C18" s="7" t="s">
        <v>1</v>
      </c>
      <c r="D18" s="7" t="s">
        <v>23</v>
      </c>
      <c r="F18" s="5"/>
      <c r="G18" t="s">
        <v>30</v>
      </c>
    </row>
    <row r="21" spans="1:7" x14ac:dyDescent="0.3">
      <c r="A21" s="4" t="s">
        <v>24</v>
      </c>
      <c r="B21" t="s">
        <v>31</v>
      </c>
      <c r="C21" t="s">
        <v>32</v>
      </c>
      <c r="D21" t="s">
        <v>33</v>
      </c>
      <c r="E21" t="s">
        <v>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Dashboard</vt:lpstr>
      <vt:lpstr>RPT (4)</vt:lpstr>
      <vt:lpstr>RPT (3)</vt:lpstr>
      <vt:lpstr>RPT (2)</vt:lpstr>
      <vt:lpstr>RPT</vt:lpstr>
      <vt:lpstr>Data</vt:lpstr>
      <vt:lpstr>East</vt:lpstr>
      <vt:lpstr>West</vt:lpstr>
      <vt:lpstr>South</vt:lpstr>
      <vt:lpstr>North</vt:lpstr>
      <vt:lpstr>Info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Ashok Sindkar</dc:creator>
  <cp:lastModifiedBy>LENOVO</cp:lastModifiedBy>
  <dcterms:created xsi:type="dcterms:W3CDTF">2020-07-03T08:10:56Z</dcterms:created>
  <dcterms:modified xsi:type="dcterms:W3CDTF">2020-10-15T04:29:35Z</dcterms:modified>
</cp:coreProperties>
</file>